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飞书大赛\outputs\019f70bd-7bc7-7400-a02a-a33299feedbe\最终提交包_PDF_XLSX\"/>
    </mc:Choice>
  </mc:AlternateContent>
  <xr:revisionPtr revIDLastSave="0" documentId="13_ncr:1_{223DA5A7-CACB-4EE4-BED5-B2845AD5D148}" xr6:coauthVersionLast="47" xr6:coauthVersionMax="47" xr10:uidLastSave="{00000000-0000-0000-0000-000000000000}"/>
  <bookViews>
    <workbookView xWindow="-110" yWindow="-110" windowWidth="25820" windowHeight="15500" firstSheet="3" activeTab="13" xr2:uid="{00000000-000D-0000-FFFF-FFFF00000000}"/>
  </bookViews>
  <sheets>
    <sheet name="使用说明" sheetId="1" r:id="rId1"/>
    <sheet name="指标看板" sheetId="2" r:id="rId2"/>
    <sheet name="场景参数" sheetId="3" r:id="rId3"/>
    <sheet name="教师" sheetId="4" r:id="rId4"/>
    <sheet name="班级" sheetId="5" r:id="rId5"/>
    <sheet name="教室" sheetId="6" r:id="rId6"/>
    <sheet name="时段" sheetId="7" r:id="rId7"/>
    <sheet name="课程需求" sheetId="8" r:id="rId8"/>
    <sheet name="规则样本" sheetId="9" r:id="rId9"/>
    <sheet name="人工基线课表" sheetId="10" r:id="rId10"/>
    <sheet name="优化课表" sheetId="11" r:id="rId11"/>
    <sheet name="调课事件" sheetId="12" r:id="rId12"/>
    <sheet name="指标口径" sheetId="13" r:id="rId13"/>
    <sheet name="参考来源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8" i="11" l="1"/>
  <c r="O28" i="11"/>
  <c r="M28" i="11"/>
  <c r="J28" i="11"/>
  <c r="I28" i="11"/>
  <c r="Q28" i="11" s="1"/>
  <c r="H28" i="11"/>
  <c r="G28" i="11"/>
  <c r="P28" i="11" s="1"/>
  <c r="D28" i="11"/>
  <c r="S28" i="11" s="1"/>
  <c r="C28" i="11"/>
  <c r="L28" i="11" s="1"/>
  <c r="T27" i="11"/>
  <c r="O27" i="11"/>
  <c r="M27" i="11"/>
  <c r="J27" i="11"/>
  <c r="I27" i="11"/>
  <c r="Q27" i="11" s="1"/>
  <c r="H27" i="11"/>
  <c r="G27" i="11"/>
  <c r="P27" i="11" s="1"/>
  <c r="D27" i="11"/>
  <c r="S27" i="11" s="1"/>
  <c r="C27" i="11"/>
  <c r="L27" i="11" s="1"/>
  <c r="T26" i="11"/>
  <c r="O26" i="11"/>
  <c r="M26" i="11"/>
  <c r="J26" i="11"/>
  <c r="I26" i="11"/>
  <c r="Q26" i="11" s="1"/>
  <c r="H26" i="11"/>
  <c r="G26" i="11"/>
  <c r="P26" i="11" s="1"/>
  <c r="D26" i="11"/>
  <c r="S26" i="11" s="1"/>
  <c r="C26" i="11"/>
  <c r="L26" i="11" s="1"/>
  <c r="T25" i="11"/>
  <c r="O25" i="11"/>
  <c r="M25" i="11"/>
  <c r="J25" i="11"/>
  <c r="I25" i="11"/>
  <c r="Q25" i="11" s="1"/>
  <c r="H25" i="11"/>
  <c r="G25" i="11"/>
  <c r="P25" i="11" s="1"/>
  <c r="D25" i="11"/>
  <c r="S25" i="11" s="1"/>
  <c r="C25" i="11"/>
  <c r="L25" i="11" s="1"/>
  <c r="T24" i="11"/>
  <c r="O24" i="11"/>
  <c r="M24" i="11"/>
  <c r="J24" i="11"/>
  <c r="I24" i="11"/>
  <c r="Q24" i="11" s="1"/>
  <c r="H24" i="11"/>
  <c r="G24" i="11"/>
  <c r="P24" i="11" s="1"/>
  <c r="D24" i="11"/>
  <c r="S24" i="11" s="1"/>
  <c r="C24" i="11"/>
  <c r="L24" i="11" s="1"/>
  <c r="T23" i="11"/>
  <c r="O23" i="11"/>
  <c r="M23" i="11"/>
  <c r="J23" i="11"/>
  <c r="I23" i="11"/>
  <c r="Q23" i="11" s="1"/>
  <c r="H23" i="11"/>
  <c r="G23" i="11"/>
  <c r="P23" i="11" s="1"/>
  <c r="D23" i="11"/>
  <c r="S23" i="11" s="1"/>
  <c r="C23" i="11"/>
  <c r="L23" i="11" s="1"/>
  <c r="T22" i="11"/>
  <c r="O22" i="11"/>
  <c r="M22" i="11"/>
  <c r="J22" i="11"/>
  <c r="I22" i="11"/>
  <c r="Q22" i="11" s="1"/>
  <c r="H22" i="11"/>
  <c r="G22" i="11"/>
  <c r="P22" i="11" s="1"/>
  <c r="D22" i="11"/>
  <c r="S22" i="11" s="1"/>
  <c r="C22" i="11"/>
  <c r="L22" i="11" s="1"/>
  <c r="T21" i="11"/>
  <c r="O21" i="11"/>
  <c r="M21" i="11"/>
  <c r="J21" i="11"/>
  <c r="I21" i="11"/>
  <c r="Q21" i="11" s="1"/>
  <c r="H21" i="11"/>
  <c r="G21" i="11"/>
  <c r="P21" i="11" s="1"/>
  <c r="D21" i="11"/>
  <c r="S21" i="11" s="1"/>
  <c r="C21" i="11"/>
  <c r="L21" i="11" s="1"/>
  <c r="T20" i="11"/>
  <c r="O20" i="11"/>
  <c r="M20" i="11"/>
  <c r="J20" i="11"/>
  <c r="I20" i="11"/>
  <c r="Q20" i="11" s="1"/>
  <c r="H20" i="11"/>
  <c r="G20" i="11"/>
  <c r="P20" i="11" s="1"/>
  <c r="D20" i="11"/>
  <c r="S20" i="11" s="1"/>
  <c r="C20" i="11"/>
  <c r="L20" i="11" s="1"/>
  <c r="T19" i="11"/>
  <c r="O19" i="11"/>
  <c r="M19" i="11"/>
  <c r="J19" i="11"/>
  <c r="I19" i="11"/>
  <c r="Q19" i="11" s="1"/>
  <c r="H19" i="11"/>
  <c r="G19" i="11"/>
  <c r="P19" i="11" s="1"/>
  <c r="D19" i="11"/>
  <c r="S19" i="11" s="1"/>
  <c r="C19" i="11"/>
  <c r="L19" i="11" s="1"/>
  <c r="T18" i="11"/>
  <c r="O18" i="11"/>
  <c r="M18" i="11"/>
  <c r="J18" i="11"/>
  <c r="I18" i="11"/>
  <c r="Q18" i="11" s="1"/>
  <c r="H18" i="11"/>
  <c r="G18" i="11"/>
  <c r="P18" i="11" s="1"/>
  <c r="D18" i="11"/>
  <c r="S18" i="11" s="1"/>
  <c r="C18" i="11"/>
  <c r="L18" i="11" s="1"/>
  <c r="T17" i="11"/>
  <c r="O17" i="11"/>
  <c r="M17" i="11"/>
  <c r="J17" i="11"/>
  <c r="I17" i="11"/>
  <c r="Q17" i="11" s="1"/>
  <c r="H17" i="11"/>
  <c r="G17" i="11"/>
  <c r="P17" i="11" s="1"/>
  <c r="D17" i="11"/>
  <c r="S17" i="11" s="1"/>
  <c r="C17" i="11"/>
  <c r="L17" i="11" s="1"/>
  <c r="T16" i="11"/>
  <c r="O16" i="11"/>
  <c r="M16" i="11"/>
  <c r="J16" i="11"/>
  <c r="I16" i="11"/>
  <c r="Q16" i="11" s="1"/>
  <c r="H16" i="11"/>
  <c r="G16" i="11"/>
  <c r="P16" i="11" s="1"/>
  <c r="D16" i="11"/>
  <c r="S16" i="11" s="1"/>
  <c r="C16" i="11"/>
  <c r="L16" i="11" s="1"/>
  <c r="T15" i="11"/>
  <c r="O15" i="11"/>
  <c r="M15" i="11"/>
  <c r="J15" i="11"/>
  <c r="I15" i="11"/>
  <c r="Q15" i="11" s="1"/>
  <c r="H15" i="11"/>
  <c r="G15" i="11"/>
  <c r="P15" i="11" s="1"/>
  <c r="D15" i="11"/>
  <c r="S15" i="11" s="1"/>
  <c r="C15" i="11"/>
  <c r="L15" i="11" s="1"/>
  <c r="T14" i="11"/>
  <c r="O14" i="11"/>
  <c r="M14" i="11"/>
  <c r="J14" i="11"/>
  <c r="I14" i="11"/>
  <c r="Q14" i="11" s="1"/>
  <c r="H14" i="11"/>
  <c r="G14" i="11"/>
  <c r="P14" i="11" s="1"/>
  <c r="D14" i="11"/>
  <c r="S14" i="11" s="1"/>
  <c r="C14" i="11"/>
  <c r="L14" i="11" s="1"/>
  <c r="T13" i="11"/>
  <c r="O13" i="11"/>
  <c r="M13" i="11"/>
  <c r="J13" i="11"/>
  <c r="I13" i="11"/>
  <c r="Q13" i="11" s="1"/>
  <c r="H13" i="11"/>
  <c r="G13" i="11"/>
  <c r="P13" i="11" s="1"/>
  <c r="D13" i="11"/>
  <c r="S13" i="11" s="1"/>
  <c r="C13" i="11"/>
  <c r="L13" i="11" s="1"/>
  <c r="T12" i="11"/>
  <c r="O12" i="11"/>
  <c r="M12" i="11"/>
  <c r="J12" i="11"/>
  <c r="I12" i="11"/>
  <c r="Q12" i="11" s="1"/>
  <c r="H12" i="11"/>
  <c r="G12" i="11"/>
  <c r="P12" i="11" s="1"/>
  <c r="D12" i="11"/>
  <c r="S12" i="11" s="1"/>
  <c r="C12" i="11"/>
  <c r="L12" i="11" s="1"/>
  <c r="T11" i="11"/>
  <c r="O11" i="11"/>
  <c r="M11" i="11"/>
  <c r="J11" i="11"/>
  <c r="I11" i="11"/>
  <c r="Q11" i="11" s="1"/>
  <c r="H11" i="11"/>
  <c r="G11" i="11"/>
  <c r="P11" i="11" s="1"/>
  <c r="D11" i="11"/>
  <c r="S11" i="11" s="1"/>
  <c r="C11" i="11"/>
  <c r="L11" i="11" s="1"/>
  <c r="T10" i="11"/>
  <c r="O10" i="11"/>
  <c r="M10" i="11"/>
  <c r="J10" i="11"/>
  <c r="I10" i="11"/>
  <c r="Q10" i="11" s="1"/>
  <c r="H10" i="11"/>
  <c r="G10" i="11"/>
  <c r="P10" i="11" s="1"/>
  <c r="D10" i="11"/>
  <c r="S10" i="11" s="1"/>
  <c r="C10" i="11"/>
  <c r="L10" i="11" s="1"/>
  <c r="T9" i="11"/>
  <c r="O9" i="11"/>
  <c r="M9" i="11"/>
  <c r="J9" i="11"/>
  <c r="I9" i="11"/>
  <c r="Q9" i="11" s="1"/>
  <c r="H9" i="11"/>
  <c r="G9" i="11"/>
  <c r="P9" i="11" s="1"/>
  <c r="D9" i="11"/>
  <c r="S9" i="11" s="1"/>
  <c r="C9" i="11"/>
  <c r="L9" i="11" s="1"/>
  <c r="T8" i="11"/>
  <c r="O8" i="11"/>
  <c r="M8" i="11"/>
  <c r="J8" i="11"/>
  <c r="I8" i="11"/>
  <c r="Q8" i="11" s="1"/>
  <c r="H8" i="11"/>
  <c r="G8" i="11"/>
  <c r="P8" i="11" s="1"/>
  <c r="D8" i="11"/>
  <c r="S8" i="11" s="1"/>
  <c r="C8" i="11"/>
  <c r="L8" i="11" s="1"/>
  <c r="T7" i="11"/>
  <c r="O7" i="11"/>
  <c r="M7" i="11"/>
  <c r="J7" i="11"/>
  <c r="I7" i="11"/>
  <c r="Q7" i="11" s="1"/>
  <c r="H7" i="11"/>
  <c r="G7" i="11"/>
  <c r="P7" i="11" s="1"/>
  <c r="D7" i="11"/>
  <c r="S7" i="11" s="1"/>
  <c r="C7" i="11"/>
  <c r="L7" i="11" s="1"/>
  <c r="T6" i="11"/>
  <c r="O6" i="11"/>
  <c r="M6" i="11"/>
  <c r="J6" i="11"/>
  <c r="I6" i="11"/>
  <c r="Q6" i="11" s="1"/>
  <c r="H6" i="11"/>
  <c r="G6" i="11"/>
  <c r="P6" i="11" s="1"/>
  <c r="D6" i="11"/>
  <c r="S6" i="11" s="1"/>
  <c r="C6" i="11"/>
  <c r="L6" i="11" s="1"/>
  <c r="T5" i="11"/>
  <c r="C6" i="2" s="1"/>
  <c r="O5" i="11"/>
  <c r="M5" i="11"/>
  <c r="J5" i="11"/>
  <c r="I5" i="11"/>
  <c r="Q5" i="11" s="1"/>
  <c r="H5" i="11"/>
  <c r="G5" i="11"/>
  <c r="C5" i="2" s="1"/>
  <c r="D5" i="11"/>
  <c r="S5" i="11" s="1"/>
  <c r="C5" i="11"/>
  <c r="L5" i="11" s="1"/>
  <c r="T28" i="10"/>
  <c r="O28" i="10"/>
  <c r="M28" i="10"/>
  <c r="J28" i="10"/>
  <c r="I28" i="10"/>
  <c r="Q28" i="10" s="1"/>
  <c r="H28" i="10"/>
  <c r="G28" i="10"/>
  <c r="P28" i="10" s="1"/>
  <c r="D28" i="10"/>
  <c r="S28" i="10" s="1"/>
  <c r="C28" i="10"/>
  <c r="L28" i="10" s="1"/>
  <c r="T27" i="10"/>
  <c r="O27" i="10"/>
  <c r="M27" i="10"/>
  <c r="J27" i="10"/>
  <c r="I27" i="10"/>
  <c r="Q27" i="10" s="1"/>
  <c r="H27" i="10"/>
  <c r="G27" i="10"/>
  <c r="P27" i="10" s="1"/>
  <c r="D27" i="10"/>
  <c r="S27" i="10" s="1"/>
  <c r="C27" i="10"/>
  <c r="L27" i="10" s="1"/>
  <c r="T26" i="10"/>
  <c r="O26" i="10"/>
  <c r="M26" i="10"/>
  <c r="J26" i="10"/>
  <c r="I26" i="10"/>
  <c r="Q26" i="10" s="1"/>
  <c r="H26" i="10"/>
  <c r="G26" i="10"/>
  <c r="P26" i="10" s="1"/>
  <c r="D26" i="10"/>
  <c r="S26" i="10" s="1"/>
  <c r="C26" i="10"/>
  <c r="L26" i="10" s="1"/>
  <c r="T25" i="10"/>
  <c r="O25" i="10"/>
  <c r="M25" i="10"/>
  <c r="J25" i="10"/>
  <c r="I25" i="10"/>
  <c r="Q25" i="10" s="1"/>
  <c r="H25" i="10"/>
  <c r="G25" i="10"/>
  <c r="P25" i="10" s="1"/>
  <c r="D25" i="10"/>
  <c r="S25" i="10" s="1"/>
  <c r="C25" i="10"/>
  <c r="L25" i="10" s="1"/>
  <c r="T24" i="10"/>
  <c r="O24" i="10"/>
  <c r="M24" i="10"/>
  <c r="J24" i="10"/>
  <c r="I24" i="10"/>
  <c r="Q24" i="10" s="1"/>
  <c r="H24" i="10"/>
  <c r="G24" i="10"/>
  <c r="P24" i="10" s="1"/>
  <c r="D24" i="10"/>
  <c r="S24" i="10" s="1"/>
  <c r="C24" i="10"/>
  <c r="L24" i="10" s="1"/>
  <c r="T23" i="10"/>
  <c r="O23" i="10"/>
  <c r="M23" i="10"/>
  <c r="J23" i="10"/>
  <c r="I23" i="10"/>
  <c r="Q23" i="10" s="1"/>
  <c r="H23" i="10"/>
  <c r="G23" i="10"/>
  <c r="P23" i="10" s="1"/>
  <c r="D23" i="10"/>
  <c r="S23" i="10" s="1"/>
  <c r="C23" i="10"/>
  <c r="L23" i="10" s="1"/>
  <c r="T22" i="10"/>
  <c r="O22" i="10"/>
  <c r="M22" i="10"/>
  <c r="J22" i="10"/>
  <c r="I22" i="10"/>
  <c r="Q22" i="10" s="1"/>
  <c r="H22" i="10"/>
  <c r="G22" i="10"/>
  <c r="P22" i="10" s="1"/>
  <c r="D22" i="10"/>
  <c r="S22" i="10" s="1"/>
  <c r="C22" i="10"/>
  <c r="L22" i="10" s="1"/>
  <c r="T21" i="10"/>
  <c r="O21" i="10"/>
  <c r="M21" i="10"/>
  <c r="J21" i="10"/>
  <c r="I21" i="10"/>
  <c r="Q21" i="10" s="1"/>
  <c r="H21" i="10"/>
  <c r="G21" i="10"/>
  <c r="P21" i="10" s="1"/>
  <c r="D21" i="10"/>
  <c r="S21" i="10" s="1"/>
  <c r="C21" i="10"/>
  <c r="L21" i="10" s="1"/>
  <c r="T20" i="10"/>
  <c r="O20" i="10"/>
  <c r="M20" i="10"/>
  <c r="J20" i="10"/>
  <c r="I20" i="10"/>
  <c r="Q20" i="10" s="1"/>
  <c r="H20" i="10"/>
  <c r="G20" i="10"/>
  <c r="P20" i="10" s="1"/>
  <c r="D20" i="10"/>
  <c r="S20" i="10" s="1"/>
  <c r="C20" i="10"/>
  <c r="L20" i="10" s="1"/>
  <c r="T19" i="10"/>
  <c r="O19" i="10"/>
  <c r="M19" i="10"/>
  <c r="J19" i="10"/>
  <c r="I19" i="10"/>
  <c r="Q19" i="10" s="1"/>
  <c r="H19" i="10"/>
  <c r="G19" i="10"/>
  <c r="P19" i="10" s="1"/>
  <c r="D19" i="10"/>
  <c r="S19" i="10" s="1"/>
  <c r="C19" i="10"/>
  <c r="L19" i="10" s="1"/>
  <c r="T18" i="10"/>
  <c r="O18" i="10"/>
  <c r="M18" i="10"/>
  <c r="J18" i="10"/>
  <c r="I18" i="10"/>
  <c r="Q18" i="10" s="1"/>
  <c r="H18" i="10"/>
  <c r="G18" i="10"/>
  <c r="P18" i="10" s="1"/>
  <c r="D18" i="10"/>
  <c r="S18" i="10" s="1"/>
  <c r="C18" i="10"/>
  <c r="L18" i="10" s="1"/>
  <c r="T17" i="10"/>
  <c r="O17" i="10"/>
  <c r="M17" i="10"/>
  <c r="J17" i="10"/>
  <c r="I17" i="10"/>
  <c r="Q17" i="10" s="1"/>
  <c r="H17" i="10"/>
  <c r="G17" i="10"/>
  <c r="P17" i="10" s="1"/>
  <c r="D17" i="10"/>
  <c r="S17" i="10" s="1"/>
  <c r="C17" i="10"/>
  <c r="L17" i="10" s="1"/>
  <c r="T16" i="10"/>
  <c r="O16" i="10"/>
  <c r="M16" i="10"/>
  <c r="J16" i="10"/>
  <c r="I16" i="10"/>
  <c r="Q16" i="10" s="1"/>
  <c r="H16" i="10"/>
  <c r="G16" i="10"/>
  <c r="P16" i="10" s="1"/>
  <c r="D16" i="10"/>
  <c r="S16" i="10" s="1"/>
  <c r="C16" i="10"/>
  <c r="L16" i="10" s="1"/>
  <c r="T15" i="10"/>
  <c r="O15" i="10"/>
  <c r="M15" i="10"/>
  <c r="J15" i="10"/>
  <c r="I15" i="10"/>
  <c r="Q15" i="10" s="1"/>
  <c r="H15" i="10"/>
  <c r="G15" i="10"/>
  <c r="P15" i="10" s="1"/>
  <c r="D15" i="10"/>
  <c r="S15" i="10" s="1"/>
  <c r="C15" i="10"/>
  <c r="L15" i="10" s="1"/>
  <c r="T14" i="10"/>
  <c r="O14" i="10"/>
  <c r="M14" i="10"/>
  <c r="J14" i="10"/>
  <c r="I14" i="10"/>
  <c r="Q14" i="10" s="1"/>
  <c r="H14" i="10"/>
  <c r="G14" i="10"/>
  <c r="P14" i="10" s="1"/>
  <c r="D14" i="10"/>
  <c r="S14" i="10" s="1"/>
  <c r="C14" i="10"/>
  <c r="L14" i="10" s="1"/>
  <c r="T13" i="10"/>
  <c r="O13" i="10"/>
  <c r="M13" i="10"/>
  <c r="J13" i="10"/>
  <c r="I13" i="10"/>
  <c r="Q13" i="10" s="1"/>
  <c r="H13" i="10"/>
  <c r="G13" i="10"/>
  <c r="P13" i="10" s="1"/>
  <c r="D13" i="10"/>
  <c r="S13" i="10" s="1"/>
  <c r="C13" i="10"/>
  <c r="L13" i="10" s="1"/>
  <c r="T12" i="10"/>
  <c r="O12" i="10"/>
  <c r="M12" i="10"/>
  <c r="J12" i="10"/>
  <c r="I12" i="10"/>
  <c r="Q12" i="10" s="1"/>
  <c r="H12" i="10"/>
  <c r="G12" i="10"/>
  <c r="P12" i="10" s="1"/>
  <c r="D12" i="10"/>
  <c r="S12" i="10" s="1"/>
  <c r="C12" i="10"/>
  <c r="L12" i="10" s="1"/>
  <c r="T11" i="10"/>
  <c r="O11" i="10"/>
  <c r="M11" i="10"/>
  <c r="J11" i="10"/>
  <c r="I11" i="10"/>
  <c r="Q11" i="10" s="1"/>
  <c r="H11" i="10"/>
  <c r="G11" i="10"/>
  <c r="P11" i="10" s="1"/>
  <c r="D11" i="10"/>
  <c r="S11" i="10" s="1"/>
  <c r="C11" i="10"/>
  <c r="L11" i="10" s="1"/>
  <c r="T10" i="10"/>
  <c r="O10" i="10"/>
  <c r="M10" i="10"/>
  <c r="J10" i="10"/>
  <c r="I10" i="10"/>
  <c r="Q10" i="10" s="1"/>
  <c r="H10" i="10"/>
  <c r="G10" i="10"/>
  <c r="P10" i="10" s="1"/>
  <c r="D10" i="10"/>
  <c r="S10" i="10" s="1"/>
  <c r="C10" i="10"/>
  <c r="L10" i="10" s="1"/>
  <c r="T9" i="10"/>
  <c r="O9" i="10"/>
  <c r="M9" i="10"/>
  <c r="J9" i="10"/>
  <c r="I9" i="10"/>
  <c r="Q9" i="10" s="1"/>
  <c r="H9" i="10"/>
  <c r="G9" i="10"/>
  <c r="P9" i="10" s="1"/>
  <c r="D9" i="10"/>
  <c r="S9" i="10" s="1"/>
  <c r="C9" i="10"/>
  <c r="L9" i="10" s="1"/>
  <c r="T8" i="10"/>
  <c r="O8" i="10"/>
  <c r="M8" i="10"/>
  <c r="J8" i="10"/>
  <c r="I8" i="10"/>
  <c r="Q8" i="10" s="1"/>
  <c r="H8" i="10"/>
  <c r="G8" i="10"/>
  <c r="P8" i="10" s="1"/>
  <c r="D8" i="10"/>
  <c r="S8" i="10" s="1"/>
  <c r="C8" i="10"/>
  <c r="L8" i="10" s="1"/>
  <c r="T7" i="10"/>
  <c r="O7" i="10"/>
  <c r="M7" i="10"/>
  <c r="J7" i="10"/>
  <c r="I7" i="10"/>
  <c r="Q7" i="10" s="1"/>
  <c r="H7" i="10"/>
  <c r="G7" i="10"/>
  <c r="P7" i="10" s="1"/>
  <c r="D7" i="10"/>
  <c r="S7" i="10" s="1"/>
  <c r="C7" i="10"/>
  <c r="L7" i="10" s="1"/>
  <c r="T6" i="10"/>
  <c r="O6" i="10"/>
  <c r="M6" i="10"/>
  <c r="J6" i="10"/>
  <c r="I6" i="10"/>
  <c r="Q6" i="10" s="1"/>
  <c r="H6" i="10"/>
  <c r="G6" i="10"/>
  <c r="P6" i="10" s="1"/>
  <c r="D6" i="10"/>
  <c r="S6" i="10" s="1"/>
  <c r="C6" i="10"/>
  <c r="L6" i="10" s="1"/>
  <c r="T5" i="10"/>
  <c r="B6" i="2" s="1"/>
  <c r="O5" i="10"/>
  <c r="M5" i="10"/>
  <c r="J5" i="10"/>
  <c r="I5" i="10"/>
  <c r="Q5" i="10" s="1"/>
  <c r="H5" i="10"/>
  <c r="G5" i="10"/>
  <c r="P5" i="10" s="1"/>
  <c r="D5" i="10"/>
  <c r="S5" i="10" s="1"/>
  <c r="C5" i="10"/>
  <c r="L5" i="10" s="1"/>
  <c r="O42" i="2"/>
  <c r="O41" i="2"/>
  <c r="C12" i="2"/>
  <c r="F12" i="2" s="1"/>
  <c r="B12" i="2"/>
  <c r="C11" i="2"/>
  <c r="F11" i="2" s="1"/>
  <c r="B11" i="2"/>
  <c r="D11" i="2" s="1"/>
  <c r="F10" i="2"/>
  <c r="C10" i="2"/>
  <c r="D10" i="2" s="1"/>
  <c r="B10" i="2"/>
  <c r="N42" i="2" s="1"/>
  <c r="F9" i="2"/>
  <c r="C9" i="2"/>
  <c r="B9" i="2"/>
  <c r="N41" i="2" s="1"/>
  <c r="B5" i="2"/>
  <c r="J41" i="2" s="1"/>
  <c r="C8" i="2" l="1"/>
  <c r="D6" i="2"/>
  <c r="F6" i="2"/>
  <c r="B8" i="2"/>
  <c r="J42" i="2" s="1"/>
  <c r="F5" i="2"/>
  <c r="K41" i="2"/>
  <c r="D5" i="2"/>
  <c r="K27" i="11"/>
  <c r="K5" i="10"/>
  <c r="K7" i="10"/>
  <c r="R7" i="10" s="1"/>
  <c r="K9" i="10"/>
  <c r="R9" i="10" s="1"/>
  <c r="K11" i="10"/>
  <c r="R11" i="10" s="1"/>
  <c r="K13" i="10"/>
  <c r="R13" i="10" s="1"/>
  <c r="K15" i="10"/>
  <c r="R15" i="10" s="1"/>
  <c r="K17" i="10"/>
  <c r="R17" i="10" s="1"/>
  <c r="K19" i="10"/>
  <c r="R19" i="10" s="1"/>
  <c r="K21" i="10"/>
  <c r="R21" i="10" s="1"/>
  <c r="K23" i="10"/>
  <c r="R23" i="10" s="1"/>
  <c r="K25" i="10"/>
  <c r="R25" i="10" s="1"/>
  <c r="K27" i="10"/>
  <c r="R27" i="10" s="1"/>
  <c r="K5" i="11"/>
  <c r="R5" i="11" s="1"/>
  <c r="K7" i="11"/>
  <c r="R7" i="11" s="1"/>
  <c r="K9" i="11"/>
  <c r="R9" i="11" s="1"/>
  <c r="K11" i="11"/>
  <c r="R11" i="11" s="1"/>
  <c r="K13" i="11"/>
  <c r="R13" i="11" s="1"/>
  <c r="K15" i="11"/>
  <c r="R15" i="11" s="1"/>
  <c r="K17" i="11"/>
  <c r="R17" i="11" s="1"/>
  <c r="K19" i="11"/>
  <c r="R19" i="11" s="1"/>
  <c r="K21" i="11"/>
  <c r="R21" i="11" s="1"/>
  <c r="K23" i="11"/>
  <c r="R23" i="11" s="1"/>
  <c r="K25" i="11"/>
  <c r="R25" i="11" s="1"/>
  <c r="N5" i="10"/>
  <c r="N7" i="10"/>
  <c r="N9" i="10"/>
  <c r="N11" i="10"/>
  <c r="N13" i="10"/>
  <c r="N15" i="10"/>
  <c r="N17" i="10"/>
  <c r="N19" i="10"/>
  <c r="N21" i="10"/>
  <c r="N23" i="10"/>
  <c r="N25" i="10"/>
  <c r="N27" i="10"/>
  <c r="N5" i="11"/>
  <c r="N7" i="11"/>
  <c r="N9" i="11"/>
  <c r="N11" i="11"/>
  <c r="N13" i="11"/>
  <c r="N15" i="11"/>
  <c r="N17" i="11"/>
  <c r="N19" i="11"/>
  <c r="N21" i="11"/>
  <c r="N23" i="11"/>
  <c r="N25" i="11"/>
  <c r="N27" i="11"/>
  <c r="P5" i="11"/>
  <c r="D9" i="2"/>
  <c r="D12" i="2"/>
  <c r="K6" i="10"/>
  <c r="R6" i="10" s="1"/>
  <c r="K8" i="10"/>
  <c r="R8" i="10" s="1"/>
  <c r="K10" i="10"/>
  <c r="R10" i="10" s="1"/>
  <c r="K12" i="10"/>
  <c r="K16" i="10"/>
  <c r="R16" i="10" s="1"/>
  <c r="K18" i="10"/>
  <c r="R18" i="10" s="1"/>
  <c r="K20" i="10"/>
  <c r="K22" i="10"/>
  <c r="K24" i="10"/>
  <c r="K26" i="10"/>
  <c r="K28" i="10"/>
  <c r="K6" i="11"/>
  <c r="K8" i="11"/>
  <c r="K10" i="11"/>
  <c r="R10" i="11" s="1"/>
  <c r="K12" i="11"/>
  <c r="R12" i="11" s="1"/>
  <c r="K14" i="11"/>
  <c r="R14" i="11" s="1"/>
  <c r="K16" i="11"/>
  <c r="R16" i="11" s="1"/>
  <c r="K18" i="11"/>
  <c r="R18" i="11" s="1"/>
  <c r="K20" i="11"/>
  <c r="R20" i="11" s="1"/>
  <c r="K22" i="11"/>
  <c r="R22" i="11" s="1"/>
  <c r="K24" i="11"/>
  <c r="R24" i="11" s="1"/>
  <c r="K26" i="11"/>
  <c r="R26" i="11" s="1"/>
  <c r="K28" i="11"/>
  <c r="R28" i="11" s="1"/>
  <c r="K14" i="10"/>
  <c r="N6" i="10"/>
  <c r="N8" i="10"/>
  <c r="N10" i="10"/>
  <c r="N12" i="10"/>
  <c r="N14" i="10"/>
  <c r="N16" i="10"/>
  <c r="N18" i="10"/>
  <c r="N20" i="10"/>
  <c r="N22" i="10"/>
  <c r="N24" i="10"/>
  <c r="N26" i="10"/>
  <c r="N28" i="10"/>
  <c r="N6" i="11"/>
  <c r="N8" i="11"/>
  <c r="N10" i="11"/>
  <c r="N12" i="11"/>
  <c r="N14" i="11"/>
  <c r="N16" i="11"/>
  <c r="N18" i="11"/>
  <c r="N20" i="11"/>
  <c r="N22" i="11"/>
  <c r="N24" i="11"/>
  <c r="N26" i="11"/>
  <c r="N28" i="11"/>
  <c r="R12" i="10" l="1"/>
  <c r="R14" i="10"/>
  <c r="R5" i="10"/>
  <c r="R27" i="11"/>
  <c r="R8" i="11"/>
  <c r="R6" i="11"/>
  <c r="C7" i="2" s="1"/>
  <c r="R26" i="10"/>
  <c r="R28" i="10"/>
  <c r="R22" i="10"/>
  <c r="R24" i="10"/>
  <c r="R20" i="10"/>
  <c r="K42" i="2"/>
  <c r="F8" i="2"/>
  <c r="D8" i="2"/>
  <c r="F7" i="2" l="1"/>
  <c r="D7" i="2"/>
  <c r="B7" i="2"/>
</calcChain>
</file>

<file path=xl/sharedStrings.xml><?xml version="1.0" encoding="utf-8"?>
<sst xmlns="http://schemas.openxmlformats.org/spreadsheetml/2006/main" count="1290" uniqueCount="421">
  <si>
    <t>途排智策｜数据分析样本</t>
  </si>
  <si>
    <t>全量数据为脱敏模拟数据，用于方案论证、指标计算与功能演示。版本：2026-07-18</t>
  </si>
  <si>
    <t>模块</t>
  </si>
  <si>
    <t>作用</t>
  </si>
  <si>
    <t>可编辑输入</t>
  </si>
  <si>
    <t>自动计算输出</t>
  </si>
  <si>
    <t>实施说明</t>
  </si>
  <si>
    <t>指标看板</t>
  </si>
  <si>
    <t>对比人工基线与优化方案</t>
  </si>
  <si>
    <t>场景参数、两版课表</t>
  </si>
  <si>
    <t>座位利用率、冲突、偏好、耗时</t>
  </si>
  <si>
    <t>目标列为影子试点验收阈值</t>
  </si>
  <si>
    <t>主数据</t>
  </si>
  <si>
    <t>教师/班级/教室/时段</t>
  </si>
  <si>
    <t>匿名ID、容量、偏好、设备</t>
  </si>
  <si>
    <t>课表校验的查找依据</t>
  </si>
  <si>
    <t>正式试点执行字段完整性与引用一致性校验</t>
  </si>
  <si>
    <t>课程需求</t>
  </si>
  <si>
    <t>同一批需求的公平对比底座</t>
  </si>
  <si>
    <t>班级、教师、课次、设备</t>
  </si>
  <si>
    <t>两版课表引用</t>
  </si>
  <si>
    <t>人工基线与优化方案采用相同需求集</t>
  </si>
  <si>
    <t>课表</t>
  </si>
  <si>
    <t>展示硬约束校验</t>
  </si>
  <si>
    <t>时段ID、教室ID</t>
  </si>
  <si>
    <t>冲突、容量、设备、偏好</t>
  </si>
  <si>
    <t>红色单元格代表需要处理的冲突</t>
  </si>
  <si>
    <t>指标口径</t>
  </si>
  <si>
    <t>统一指标计算与验收规则</t>
  </si>
  <si>
    <t>试点目标与责任人</t>
  </si>
  <si>
    <t>达标判断</t>
  </si>
  <si>
    <t>企业试点采用统一业务口径并记录公式版本</t>
  </si>
  <si>
    <t>参考来源</t>
  </si>
  <si>
    <t>保留外部证据链</t>
  </si>
  <si>
    <t>URL与访问日期</t>
  </si>
  <si>
    <t>无</t>
  </si>
  <si>
    <t>来源表记录链接、发布日期与访问日期</t>
  </si>
  <si>
    <t>本样本同时展示房间时段占用率与座位利用率。40%→65%的情景演示对应座位利用率，房间时段占用率同步列示；两项指标均保留明确公式与数据版本。</t>
  </si>
  <si>
    <t>途排智策｜模拟效果看板</t>
  </si>
  <si>
    <t>对比使用同一批课程需求；绿色不代表真实业务成果，只说明该模拟样本满足设定规则。</t>
  </si>
  <si>
    <t>指标</t>
  </si>
  <si>
    <t>人工基线</t>
  </si>
  <si>
    <t>优化方案</t>
  </si>
  <si>
    <t>变化</t>
  </si>
  <si>
    <t>目标</t>
  </si>
  <si>
    <t>状态</t>
  </si>
  <si>
    <t>口径提示</t>
  </si>
  <si>
    <t>座位利用率</t>
  </si>
  <si>
    <t>学生人次/已分配教室座位数</t>
  </si>
  <si>
    <t>房间时段占用率</t>
  </si>
  <si>
    <t>唯一教室-时段组合数/60个可用房间时段</t>
  </si>
  <si>
    <t>硬冲突记录数</t>
  </si>
  <si>
    <t>每条违规课表记录计1次</t>
  </si>
  <si>
    <t>偏好满足率</t>
  </si>
  <si>
    <t>满足已确认偏好的场次占比</t>
  </si>
  <si>
    <t>首次排课耗时(分钟)</t>
  </si>
  <si>
    <t>情景仿真参数；试点阶段由系统日志记录</t>
  </si>
  <si>
    <t>调课建议耗时(分钟)</t>
  </si>
  <si>
    <t>情景仿真参数；试点阶段由事件日志记录</t>
  </si>
  <si>
    <t>教务人工操作量(次)</t>
  </si>
  <si>
    <t>模拟流程操作计数</t>
  </si>
  <si>
    <t>课表版本留痕率</t>
  </si>
  <si>
    <t>完整保存规则/数据/参数/结果</t>
  </si>
  <si>
    <t>模拟样本结论：在相同24个课程需求下，人工基线因两组教室时段重复占用，唯一房间时段占用率为36.67%；优化方案消除重复占用后达到40.00%。通过匹配适宜房型，座位利用率由40.48%提升至65.38%，示例硬冲突记录由4条降为0条。以上为脱敏模拟数据计算结果。</t>
  </si>
  <si>
    <t>比例指标</t>
  </si>
  <si>
    <t>耗时指标</t>
  </si>
  <si>
    <t>首次排课</t>
  </si>
  <si>
    <t>调课建议</t>
  </si>
  <si>
    <t>情景仿真参数</t>
  </si>
  <si>
    <t>黄色单元格为可编辑情景参数；试点阶段由系统日志与事件日志自动记录实际值。</t>
  </si>
  <si>
    <t>参数ID</t>
  </si>
  <si>
    <t>参数名称</t>
  </si>
  <si>
    <t>单位</t>
  </si>
  <si>
    <t>参数属性</t>
  </si>
  <si>
    <t>P01</t>
  </si>
  <si>
    <t>首次排课耗时</t>
  </si>
  <si>
    <t>分钟</t>
  </si>
  <si>
    <t>情景仿真</t>
  </si>
  <si>
    <t>P02</t>
  </si>
  <si>
    <t>调课建议耗时</t>
  </si>
  <si>
    <t>P03</t>
  </si>
  <si>
    <t>可用房间时段</t>
  </si>
  <si>
    <t>房间×时段</t>
  </si>
  <si>
    <t>模拟场景</t>
  </si>
  <si>
    <t>P04</t>
  </si>
  <si>
    <t>教务人工操作量</t>
  </si>
  <si>
    <t>次</t>
  </si>
  <si>
    <t>P05</t>
  </si>
  <si>
    <t>%</t>
  </si>
  <si>
    <t>试点验收目标</t>
  </si>
  <si>
    <t>教师主数据（匿名模拟）</t>
  </si>
  <si>
    <t>偏好时段使用“|”分隔；实际业务数据采用最小必要字段与角色授权。</t>
  </si>
  <si>
    <t>教师ID</t>
  </si>
  <si>
    <t>匿名名称</t>
  </si>
  <si>
    <t>学科</t>
  </si>
  <si>
    <t>周最大课时</t>
  </si>
  <si>
    <t>不可用时段</t>
  </si>
  <si>
    <t>偏好时段</t>
  </si>
  <si>
    <t>数据级别</t>
  </si>
  <si>
    <t>T01</t>
  </si>
  <si>
    <t>教师甲</t>
  </si>
  <si>
    <t>数学</t>
  </si>
  <si>
    <t>S02|S04</t>
  </si>
  <si>
    <t>S03|S05|S07</t>
  </si>
  <si>
    <t>内部</t>
  </si>
  <si>
    <t>T02</t>
  </si>
  <si>
    <t>教师乙</t>
  </si>
  <si>
    <t>英语</t>
  </si>
  <si>
    <t>S01|S03|S06|S08</t>
  </si>
  <si>
    <t>T03</t>
  </si>
  <si>
    <t>教师丙</t>
  </si>
  <si>
    <t>物理</t>
  </si>
  <si>
    <t>S01|S05|S07</t>
  </si>
  <si>
    <t>T04</t>
  </si>
  <si>
    <t>教师丁</t>
  </si>
  <si>
    <t>化学</t>
  </si>
  <si>
    <t>S01|S03</t>
  </si>
  <si>
    <t>S02|S04|S06|S08</t>
  </si>
  <si>
    <t>T05</t>
  </si>
  <si>
    <t>教师戊</t>
  </si>
  <si>
    <t>语文</t>
  </si>
  <si>
    <t>S02|S04|S05|S07</t>
  </si>
  <si>
    <t>T06</t>
  </si>
  <si>
    <t>教师己</t>
  </si>
  <si>
    <t>编程</t>
  </si>
  <si>
    <t>班级主数据（匿名模拟）</t>
  </si>
  <si>
    <t>学生人数用于容量校验；不包含姓名、联系方式等非必要个人信息。</t>
  </si>
  <si>
    <t>班级ID</t>
  </si>
  <si>
    <t>班级名称</t>
  </si>
  <si>
    <t>年级</t>
  </si>
  <si>
    <t>学生数</t>
  </si>
  <si>
    <t>优先级</t>
  </si>
  <si>
    <t>设备需求</t>
  </si>
  <si>
    <t>B01</t>
  </si>
  <si>
    <t>初一数学A</t>
  </si>
  <si>
    <t>初一</t>
  </si>
  <si>
    <t>常规</t>
  </si>
  <si>
    <t>投影</t>
  </si>
  <si>
    <t>B02</t>
  </si>
  <si>
    <t>初一英语A</t>
  </si>
  <si>
    <t>B03</t>
  </si>
  <si>
    <t>初二物理A</t>
  </si>
  <si>
    <t>初二</t>
  </si>
  <si>
    <t>B04</t>
  </si>
  <si>
    <t>初三化学A</t>
  </si>
  <si>
    <t>初三</t>
  </si>
  <si>
    <t>冲刺</t>
  </si>
  <si>
    <t>B05</t>
  </si>
  <si>
    <t>初三语文A</t>
  </si>
  <si>
    <t>B06</t>
  </si>
  <si>
    <t>高中编程A</t>
  </si>
  <si>
    <t>高一</t>
  </si>
  <si>
    <t>重点</t>
  </si>
  <si>
    <t>电脑</t>
  </si>
  <si>
    <t>B07</t>
  </si>
  <si>
    <t>初一数学B</t>
  </si>
  <si>
    <t>B08</t>
  </si>
  <si>
    <t>初一英语B</t>
  </si>
  <si>
    <t>B09</t>
  </si>
  <si>
    <t>初二物理B</t>
  </si>
  <si>
    <t>B10</t>
  </si>
  <si>
    <t>初三化学B</t>
  </si>
  <si>
    <t>B11</t>
  </si>
  <si>
    <t>初三语文B</t>
  </si>
  <si>
    <t>B12</t>
  </si>
  <si>
    <t>高中编程B</t>
  </si>
  <si>
    <t>教室主数据（模拟）</t>
  </si>
  <si>
    <t>R01-R03为紧凑房型，R04-R06为大房型；用于展示房型匹配对座位利用率的影响。</t>
  </si>
  <si>
    <t>教室ID</t>
  </si>
  <si>
    <t>教室名称</t>
  </si>
  <si>
    <t>容量</t>
  </si>
  <si>
    <t>设备</t>
  </si>
  <si>
    <t>可用时段</t>
  </si>
  <si>
    <t>校区</t>
  </si>
  <si>
    <t>R01</t>
  </si>
  <si>
    <t>小班教室1</t>
  </si>
  <si>
    <t>S01|S02|S03|S04|S05|S06|S07|S08|S09|S10</t>
  </si>
  <si>
    <t>示范校区</t>
  </si>
  <si>
    <t>R02</t>
  </si>
  <si>
    <t>小班教室2</t>
  </si>
  <si>
    <t>R03</t>
  </si>
  <si>
    <t>机房</t>
  </si>
  <si>
    <t>投影|电脑</t>
  </si>
  <si>
    <t>R04</t>
  </si>
  <si>
    <t>大班教室1</t>
  </si>
  <si>
    <t>R05</t>
  </si>
  <si>
    <t>大班教室2</t>
  </si>
  <si>
    <t>R06</t>
  </si>
  <si>
    <t>大班综合教室</t>
  </si>
  <si>
    <t>时段主数据（模拟）</t>
  </si>
  <si>
    <t>共5天×2时段；6间教室对应60个可用房间时段。</t>
  </si>
  <si>
    <t>时段ID</t>
  </si>
  <si>
    <t>星期</t>
  </si>
  <si>
    <t>开始</t>
  </si>
  <si>
    <t>结束</t>
  </si>
  <si>
    <t>类型</t>
  </si>
  <si>
    <t>是否开放</t>
  </si>
  <si>
    <t>S01</t>
  </si>
  <si>
    <t>周一</t>
  </si>
  <si>
    <t>18:30</t>
  </si>
  <si>
    <t>20:00</t>
  </si>
  <si>
    <t>晚间1</t>
  </si>
  <si>
    <t>是</t>
  </si>
  <si>
    <t>S02</t>
  </si>
  <si>
    <t>20:10</t>
  </si>
  <si>
    <t>21:40</t>
  </si>
  <si>
    <t>晚间2</t>
  </si>
  <si>
    <t>S03</t>
  </si>
  <si>
    <t>周二</t>
  </si>
  <si>
    <t>S04</t>
  </si>
  <si>
    <t>S05</t>
  </si>
  <si>
    <t>周三</t>
  </si>
  <si>
    <t>S06</t>
  </si>
  <si>
    <t>S07</t>
  </si>
  <si>
    <t>周四</t>
  </si>
  <si>
    <t>S08</t>
  </si>
  <si>
    <t>S09</t>
  </si>
  <si>
    <t>周五</t>
  </si>
  <si>
    <t>S10</t>
  </si>
  <si>
    <t>课程需求集（模拟）</t>
  </si>
  <si>
    <t>24个场次、12个班级，每班2次；人工基线与优化方案引用同一需求集。</t>
  </si>
  <si>
    <t>场次ID</t>
  </si>
  <si>
    <t>时长(分钟)</t>
  </si>
  <si>
    <t>建议时段</t>
  </si>
  <si>
    <t>B01-1</t>
  </si>
  <si>
    <t>B02-1</t>
  </si>
  <si>
    <t>B03-1</t>
  </si>
  <si>
    <t>B04-1</t>
  </si>
  <si>
    <t>B05-1</t>
  </si>
  <si>
    <t>B06-1</t>
  </si>
  <si>
    <t>B07-1</t>
  </si>
  <si>
    <t>B08-1</t>
  </si>
  <si>
    <t>B09-1</t>
  </si>
  <si>
    <t>B10-1</t>
  </si>
  <si>
    <t>B11-1</t>
  </si>
  <si>
    <t>B12-1</t>
  </si>
  <si>
    <t>B01-2</t>
  </si>
  <si>
    <t>B05-2</t>
  </si>
  <si>
    <t>B09-2</t>
  </si>
  <si>
    <t>B02-2</t>
  </si>
  <si>
    <t>B10-2</t>
  </si>
  <si>
    <t>B06-2</t>
  </si>
  <si>
    <t>B03-2</t>
  </si>
  <si>
    <t>B07-2</t>
  </si>
  <si>
    <t>B11-2</t>
  </si>
  <si>
    <t>B04-2</t>
  </si>
  <si>
    <t>B08-2</t>
  </si>
  <si>
    <t>B12-2</t>
  </si>
  <si>
    <t>自然语言规则解析样本</t>
  </si>
  <si>
    <t>AI生成结构化候选规则，教务确认后进入正式求解。</t>
  </si>
  <si>
    <t>规则ID</t>
  </si>
  <si>
    <t>自然语言原文</t>
  </si>
  <si>
    <t>对象</t>
  </si>
  <si>
    <t>硬/软</t>
  </si>
  <si>
    <t>结构化表达</t>
  </si>
  <si>
    <t>权重</t>
  </si>
  <si>
    <t>确认状态</t>
  </si>
  <si>
    <t>控制机制</t>
  </si>
  <si>
    <t>RL01</t>
  </si>
  <si>
    <t>同一教师不能同时上两门课</t>
  </si>
  <si>
    <t>教师</t>
  </si>
  <si>
    <t>不重叠</t>
  </si>
  <si>
    <t>硬</t>
  </si>
  <si>
    <t>AllDifferent(teacher, slot)</t>
  </si>
  <si>
    <t>已确认</t>
  </si>
  <si>
    <t>硬约束不可自动放宽</t>
  </si>
  <si>
    <t>RL02</t>
  </si>
  <si>
    <t>同一班级不能同时上两门课</t>
  </si>
  <si>
    <t>班级</t>
  </si>
  <si>
    <t>AllDifferent(class, slot)</t>
  </si>
  <si>
    <t>RL03</t>
  </si>
  <si>
    <t>教室容量必须不小于班级人数</t>
  </si>
  <si>
    <t>教室</t>
  </si>
  <si>
    <t>room.capacity &gt;= class.size</t>
  </si>
  <si>
    <t>人数变化需重新校验</t>
  </si>
  <si>
    <t>RL04</t>
  </si>
  <si>
    <t>编程课必须安排有电脑的教室</t>
  </si>
  <si>
    <t>课程</t>
  </si>
  <si>
    <t>required_device in room.devices</t>
  </si>
  <si>
    <t>设备状态需实时维护</t>
  </si>
  <si>
    <t>RL05</t>
  </si>
  <si>
    <t>教师不可用时段不得排课</t>
  </si>
  <si>
    <t>可用性</t>
  </si>
  <si>
    <t>slot not in teacher.unavailable_slots</t>
  </si>
  <si>
    <t>请假与临时停课事件触发重新校验</t>
  </si>
  <si>
    <t>RL06</t>
  </si>
  <si>
    <t>课程只能安排在教室可用时段</t>
  </si>
  <si>
    <t>slot in room.available_slots</t>
  </si>
  <si>
    <t>检修与停用事件触发重新校验</t>
  </si>
  <si>
    <t>RL07</t>
  </si>
  <si>
    <t>教师尽量安排在偏好时段</t>
  </si>
  <si>
    <t>偏好</t>
  </si>
  <si>
    <t>软</t>
  </si>
  <si>
    <t>maximize preferred_slot</t>
  </si>
  <si>
    <t>候选</t>
  </si>
  <si>
    <t>偏好权重由教务规则版本统一配置</t>
  </si>
  <si>
    <t>RL08</t>
  </si>
  <si>
    <t>调课时尽量少动其他班级</t>
  </si>
  <si>
    <t>全局</t>
  </si>
  <si>
    <t>稳定性</t>
  </si>
  <si>
    <t>minimize changed_sessions</t>
  </si>
  <si>
    <t>局部调课范围由事件影响图确定</t>
  </si>
  <si>
    <t>人工基线课表（模拟）</t>
  </si>
  <si>
    <t>白色列为输入或引用，灰/蓝色列为公式校验；所有数据均为模拟。红色代表硬约束冲突。</t>
  </si>
  <si>
    <t>版本</t>
  </si>
  <si>
    <t>教室容量</t>
  </si>
  <si>
    <t>设备要求</t>
  </si>
  <si>
    <t>教室设备</t>
  </si>
  <si>
    <t>教师冲突</t>
  </si>
  <si>
    <t>班级冲突</t>
  </si>
  <si>
    <t>教室冲突</t>
  </si>
  <si>
    <t>教师不可用</t>
  </si>
  <si>
    <t>教室不可用</t>
  </si>
  <si>
    <t>容量违规</t>
  </si>
  <si>
    <t>设备违规</t>
  </si>
  <si>
    <t>硬冲突标记</t>
  </si>
  <si>
    <t>偏好满足</t>
  </si>
  <si>
    <t>房间时段首占</t>
  </si>
  <si>
    <t>说明</t>
  </si>
  <si>
    <t>模拟人工排程</t>
  </si>
  <si>
    <t>优化课表（模拟）</t>
  </si>
  <si>
    <t>模拟排程</t>
  </si>
  <si>
    <t>增量调课事件样本</t>
  </si>
  <si>
    <t>系统记录候选方案、确认人、课表版本、通知状态和回滚点。</t>
  </si>
  <si>
    <t>事件ID</t>
  </si>
  <si>
    <t>事件类型</t>
  </si>
  <si>
    <t>事件描述</t>
  </si>
  <si>
    <t>受影响场次</t>
  </si>
  <si>
    <t>原时段</t>
  </si>
  <si>
    <t>原教室</t>
  </si>
  <si>
    <t>建议教室</t>
  </si>
  <si>
    <t>预计变更场次</t>
  </si>
  <si>
    <t>E01</t>
  </si>
  <si>
    <t>教师请假</t>
  </si>
  <si>
    <t>教师丙周三晚间临时请假</t>
  </si>
  <si>
    <t>候选方案</t>
  </si>
  <si>
    <t>E02</t>
  </si>
  <si>
    <t>教室停用</t>
  </si>
  <si>
    <t>小班教室2临时检修</t>
  </si>
  <si>
    <t>E03</t>
  </si>
  <si>
    <t>新增偏好</t>
  </si>
  <si>
    <t>教师甲希望周四避免晚间1</t>
  </si>
  <si>
    <t>指标口径与验证计划</t>
  </si>
  <si>
    <t>先锁定公式，再做试点；“目标”列均为计划值，只有日志与抽检完成后才能改写为成果。</t>
  </si>
  <si>
    <t>定义</t>
  </si>
  <si>
    <t>分子</t>
  </si>
  <si>
    <t>分母</t>
  </si>
  <si>
    <t>试点目标</t>
  </si>
  <si>
    <t>数据来源</t>
  </si>
  <si>
    <t>验证频率</t>
  </si>
  <si>
    <t>责任人</t>
  </si>
  <si>
    <t>唯一已排课房间时段/可用房间时段</t>
  </si>
  <si>
    <t>唯一（教室ID，时段ID）组合数</t>
  </si>
  <si>
    <t>开放教室×开放时段</t>
  </si>
  <si>
    <t>&gt;=40%，并结合班型与房型结构说明</t>
  </si>
  <si>
    <t>课表+教室+时段</t>
  </si>
  <si>
    <t>每次排课</t>
  </si>
  <si>
    <t>刘禹萱</t>
  </si>
  <si>
    <t>每场学生数合计</t>
  </si>
  <si>
    <t>每场教室容量合计</t>
  </si>
  <si>
    <t>&gt;=65%</t>
  </si>
  <si>
    <t>班级+课表+教室</t>
  </si>
  <si>
    <t>违反教师、班级、教室不重叠及教师/教室可用性、容量、设备硬约束的记录数</t>
  </si>
  <si>
    <t>冲突标记求和</t>
  </si>
  <si>
    <t>不适用</t>
  </si>
  <si>
    <t>0</t>
  </si>
  <si>
    <t>自动校验日志</t>
  </si>
  <si>
    <t>每次求解</t>
  </si>
  <si>
    <t>满足已确认软偏好的场次占比</t>
  </si>
  <si>
    <t>偏好满足场次</t>
  </si>
  <si>
    <t>全部场次</t>
  </si>
  <si>
    <t>&gt;=85%</t>
  </si>
  <si>
    <t>规则+课表</t>
  </si>
  <si>
    <t>从有效输入冻结到候选课表生成</t>
  </si>
  <si>
    <t>结束时间-开始时间</t>
  </si>
  <si>
    <t>&lt;=15分钟</t>
  </si>
  <si>
    <t>系统日志</t>
  </si>
  <si>
    <t>事件确认到建议方案生成</t>
  </si>
  <si>
    <t>&lt;=5分钟</t>
  </si>
  <si>
    <t>事件日志</t>
  </si>
  <si>
    <t>每次事件</t>
  </si>
  <si>
    <t>完整保存规则、数据版本、求解参数与结果的课表占比</t>
  </si>
  <si>
    <t>完整留痕版本数</t>
  </si>
  <si>
    <t>全部正式版本</t>
  </si>
  <si>
    <t>100%</t>
  </si>
  <si>
    <t>版本日志</t>
  </si>
  <si>
    <t>每周</t>
  </si>
  <si>
    <t>工作簿内置参考来源</t>
  </si>
  <si>
    <t>仅列本样本直接使用的口径与方法来源；完整注释书目见团队补充材料总册。</t>
  </si>
  <si>
    <t>编号</t>
  </si>
  <si>
    <t>主题</t>
  </si>
  <si>
    <t>来源</t>
  </si>
  <si>
    <t>标题</t>
  </si>
  <si>
    <t>URL</t>
  </si>
  <si>
    <t>访问日期</t>
  </si>
  <si>
    <t>用途</t>
  </si>
  <si>
    <t>赛制</t>
  </si>
  <si>
    <t>飞书/赛事组委会</t>
  </si>
  <si>
    <t>2026 AI 先锋未来人才大赛详细赛制规则</t>
  </si>
  <si>
    <t>https://bytedance.larkoffice.com/wiki/EwPtwUn5ciw0UlkF7dDcndyAn1n</t>
  </si>
  <si>
    <t>2026-07-17</t>
  </si>
  <si>
    <t>参赛与飞书AI要求</t>
  </si>
  <si>
    <t>约束求解</t>
  </si>
  <si>
    <t>Google for Developers</t>
  </si>
  <si>
    <t>Constraint Optimization / CP-SAT</t>
  </si>
  <si>
    <t>https://developers.google.com/optimization/cp</t>
  </si>
  <si>
    <t>确定性约束求解依据</t>
  </si>
  <si>
    <t>排程示例</t>
  </si>
  <si>
    <t>Employee Scheduling</t>
  </si>
  <si>
    <t>https://developers.google.com/optimization/scheduling/employee_scheduling</t>
  </si>
  <si>
    <t>不重叠与偏好目标示例</t>
  </si>
  <si>
    <t>开源实现</t>
  </si>
  <si>
    <t>Google OR-Tools</t>
  </si>
  <si>
    <t>OR-Tools GitHub repository</t>
  </si>
  <si>
    <t>https://github.com/google/or-tools</t>
  </si>
  <si>
    <t>算法工程实现</t>
  </si>
  <si>
    <t>隐私</t>
  </si>
  <si>
    <t>全国人大</t>
  </si>
  <si>
    <t>中华人民共和国个人信息保护法</t>
  </si>
  <si>
    <t>https://www.gov.cn/xinwen/2021-08/20/content_5632486.htm</t>
  </si>
  <si>
    <t>数据最小化与授权原则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</si>
</sst>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 x14ac:knownFonts="1">
    <font>
      <sz val="11"/>
      <name val="Carlito"/>
    </font>
    <font>
      <b/>
      <sz val="18"/>
      <color rgb="FFFFFFFF"/>
      <name val="Carlito"/>
    </font>
    <font>
      <i/>
      <sz val="10"/>
      <color rgb="FF5B6770"/>
      <name val="Carlito"/>
    </font>
    <font>
      <b/>
      <sz val="11"/>
      <color rgb="FFFFFFFF"/>
      <name val="Carlito"/>
    </font>
    <font>
      <sz val="10"/>
      <color rgb="FF18212B"/>
      <name val="Carlito"/>
    </font>
    <font>
      <b/>
      <sz val="11"/>
      <color rgb="FF7A4E00"/>
      <name val="Carlito"/>
    </font>
    <font>
      <b/>
      <sz val="11"/>
      <color rgb="FF17324D"/>
      <name val="Carlito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2FF"/>
      </patternFill>
    </fill>
    <fill>
      <patternFill patternType="solid">
        <fgColor rgb="FF2F6BFF"/>
      </patternFill>
    </fill>
    <fill>
      <patternFill patternType="solid">
        <fgColor rgb="FFFFF5DA"/>
      </patternFill>
    </fill>
    <fill>
      <patternFill patternType="solid">
        <fgColor rgb="FFF5F7FA"/>
      </patternFill>
    </fill>
    <fill>
      <patternFill patternType="solid">
        <fgColor rgb="FF00A99D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17324D"/>
      </bottom>
      <diagonal/>
    </border>
    <border>
      <left/>
      <right/>
      <top/>
      <bottom style="thin">
        <color rgb="FFD8E0E8"/>
      </bottom>
      <diagonal/>
    </border>
    <border>
      <left/>
      <right/>
      <top style="thin">
        <color rgb="FFD8E0E8"/>
      </top>
      <bottom style="thin">
        <color rgb="FFD8E0E8"/>
      </bottom>
      <diagonal/>
    </border>
    <border>
      <left/>
      <right/>
      <top style="thin">
        <color rgb="FFD8E0E8"/>
      </top>
      <bottom/>
      <diagonal/>
    </border>
    <border>
      <left style="medium">
        <color rgb="FFF2A93B"/>
      </left>
      <right/>
      <top style="medium">
        <color rgb="FFF2A93B"/>
      </top>
      <bottom/>
      <diagonal/>
    </border>
    <border>
      <left/>
      <right/>
      <top style="medium">
        <color rgb="FFF2A93B"/>
      </top>
      <bottom/>
      <diagonal/>
    </border>
    <border>
      <left/>
      <right style="medium">
        <color rgb="FFF2A93B"/>
      </right>
      <top style="medium">
        <color rgb="FFF2A93B"/>
      </top>
      <bottom/>
      <diagonal/>
    </border>
    <border>
      <left style="medium">
        <color rgb="FFF2A93B"/>
      </left>
      <right/>
      <top/>
      <bottom/>
      <diagonal/>
    </border>
    <border>
      <left/>
      <right style="medium">
        <color rgb="FFF2A93B"/>
      </right>
      <top/>
      <bottom/>
      <diagonal/>
    </border>
    <border>
      <left style="medium">
        <color rgb="FFF2A93B"/>
      </left>
      <right/>
      <top/>
      <bottom style="medium">
        <color rgb="FFF2A93B"/>
      </bottom>
      <diagonal/>
    </border>
    <border>
      <left/>
      <right/>
      <top/>
      <bottom style="medium">
        <color rgb="FFF2A93B"/>
      </bottom>
      <diagonal/>
    </border>
    <border>
      <left/>
      <right style="medium">
        <color rgb="FFF2A93B"/>
      </right>
      <top/>
      <bottom style="medium">
        <color rgb="FFF2A93B"/>
      </bottom>
      <diagonal/>
    </border>
    <border>
      <left style="medium">
        <color rgb="FF2F6BFF"/>
      </left>
      <right/>
      <top style="medium">
        <color rgb="FF2F6BFF"/>
      </top>
      <bottom/>
      <diagonal/>
    </border>
    <border>
      <left/>
      <right/>
      <top style="medium">
        <color rgb="FF2F6BFF"/>
      </top>
      <bottom/>
      <diagonal/>
    </border>
    <border>
      <left/>
      <right style="medium">
        <color rgb="FF2F6BFF"/>
      </right>
      <top style="medium">
        <color rgb="FF2F6BFF"/>
      </top>
      <bottom/>
      <diagonal/>
    </border>
    <border>
      <left style="medium">
        <color rgb="FF2F6BFF"/>
      </left>
      <right/>
      <top/>
      <bottom/>
      <diagonal/>
    </border>
    <border>
      <left/>
      <right style="medium">
        <color rgb="FF2F6BFF"/>
      </right>
      <top/>
      <bottom/>
      <diagonal/>
    </border>
    <border>
      <left style="medium">
        <color rgb="FF2F6BFF"/>
      </left>
      <right/>
      <top/>
      <bottom style="medium">
        <color rgb="FF2F6BFF"/>
      </bottom>
      <diagonal/>
    </border>
    <border>
      <left/>
      <right/>
      <top/>
      <bottom style="medium">
        <color rgb="FF2F6BFF"/>
      </bottom>
      <diagonal/>
    </border>
    <border>
      <left/>
      <right style="medium">
        <color rgb="FF2F6BFF"/>
      </right>
      <top/>
      <bottom style="medium">
        <color rgb="FF2F6BFF"/>
      </bottom>
      <diagonal/>
    </border>
  </borders>
  <cellStyleXfs count="2">
    <xf numFmtId="0" fontId="0" fillId="0" borderId="0"/>
    <xf numFmtId="0" fontId="7" fillId="0" borderId="0"/>
  </cellStyleXfs>
  <cellXfs count="47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vertical="center" wrapText="1"/>
    </xf>
    <xf numFmtId="0" fontId="4" fillId="0" borderId="3" xfId="1" applyFont="1" applyBorder="1" applyAlignment="1">
      <alignment vertical="center" wrapText="1"/>
    </xf>
    <xf numFmtId="0" fontId="4" fillId="0" borderId="4" xfId="1" applyFont="1" applyBorder="1" applyAlignment="1">
      <alignment vertical="center" wrapText="1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3" fontId="4" fillId="0" borderId="2" xfId="1" applyNumberFormat="1" applyFont="1" applyBorder="1" applyAlignment="1">
      <alignment vertical="center"/>
    </xf>
    <xf numFmtId="3" fontId="4" fillId="0" borderId="3" xfId="1" applyNumberFormat="1" applyFont="1" applyBorder="1" applyAlignment="1">
      <alignment vertical="center"/>
    </xf>
    <xf numFmtId="3" fontId="4" fillId="0" borderId="4" xfId="1" applyNumberFormat="1" applyFont="1" applyBorder="1" applyAlignment="1">
      <alignment vertical="center"/>
    </xf>
    <xf numFmtId="0" fontId="4" fillId="6" borderId="2" xfId="1" applyFont="1" applyFill="1" applyBorder="1" applyAlignment="1">
      <alignment vertical="center" wrapText="1"/>
    </xf>
    <xf numFmtId="0" fontId="4" fillId="6" borderId="3" xfId="1" applyFont="1" applyFill="1" applyBorder="1" applyAlignment="1">
      <alignment vertical="center" wrapText="1"/>
    </xf>
    <xf numFmtId="0" fontId="4" fillId="6" borderId="4" xfId="1" applyFont="1" applyFill="1" applyBorder="1" applyAlignment="1">
      <alignment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6" borderId="3" xfId="1" applyFont="1" applyFill="1" applyBorder="1" applyAlignment="1">
      <alignment horizontal="center" vertical="center" wrapText="1"/>
    </xf>
    <xf numFmtId="0" fontId="4" fillId="6" borderId="4" xfId="1" applyFont="1" applyFill="1" applyBorder="1" applyAlignment="1">
      <alignment horizontal="center" vertical="center" wrapText="1"/>
    </xf>
    <xf numFmtId="176" fontId="4" fillId="0" borderId="2" xfId="1" applyNumberFormat="1" applyFont="1" applyBorder="1" applyAlignment="1">
      <alignment vertical="center" wrapText="1"/>
    </xf>
    <xf numFmtId="176" fontId="4" fillId="0" borderId="3" xfId="1" applyNumberFormat="1" applyFont="1" applyBorder="1" applyAlignment="1">
      <alignment vertical="center" wrapText="1"/>
    </xf>
    <xf numFmtId="9" fontId="4" fillId="0" borderId="4" xfId="1" applyNumberFormat="1" applyFont="1" applyBorder="1" applyAlignment="1">
      <alignment vertical="center" wrapText="1"/>
    </xf>
    <xf numFmtId="0" fontId="0" fillId="0" borderId="0" xfId="1" applyFont="1" applyAlignment="1">
      <alignment vertical="center"/>
    </xf>
    <xf numFmtId="0" fontId="3" fillId="4" borderId="0" xfId="1" applyFont="1" applyFill="1" applyAlignment="1">
      <alignment vertical="center"/>
    </xf>
    <xf numFmtId="0" fontId="3" fillId="7" borderId="0" xfId="1" applyFont="1" applyFill="1" applyAlignment="1">
      <alignment vertical="center"/>
    </xf>
    <xf numFmtId="9" fontId="0" fillId="0" borderId="0" xfId="1" applyNumberFormat="1" applyFont="1" applyAlignment="1">
      <alignment vertical="center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  <xf numFmtId="0" fontId="5" fillId="5" borderId="5" xfId="1" applyFont="1" applyFill="1" applyBorder="1" applyAlignment="1">
      <alignment vertical="center" wrapText="1"/>
    </xf>
    <xf numFmtId="0" fontId="5" fillId="5" borderId="6" xfId="1" applyFont="1" applyFill="1" applyBorder="1" applyAlignment="1">
      <alignment vertical="center" wrapText="1"/>
    </xf>
    <xf numFmtId="0" fontId="5" fillId="5" borderId="7" xfId="1" applyFont="1" applyFill="1" applyBorder="1" applyAlignment="1">
      <alignment vertical="center" wrapText="1"/>
    </xf>
    <xf numFmtId="0" fontId="5" fillId="5" borderId="8" xfId="1" applyFont="1" applyFill="1" applyBorder="1" applyAlignment="1">
      <alignment vertical="center" wrapText="1"/>
    </xf>
    <xf numFmtId="0" fontId="5" fillId="5" borderId="0" xfId="1" applyFont="1" applyFill="1" applyAlignment="1">
      <alignment vertical="center" wrapText="1"/>
    </xf>
    <xf numFmtId="0" fontId="5" fillId="5" borderId="9" xfId="1" applyFont="1" applyFill="1" applyBorder="1" applyAlignment="1">
      <alignment vertical="center" wrapText="1"/>
    </xf>
    <xf numFmtId="0" fontId="5" fillId="5" borderId="10" xfId="1" applyFont="1" applyFill="1" applyBorder="1" applyAlignment="1">
      <alignment vertical="center" wrapText="1"/>
    </xf>
    <xf numFmtId="0" fontId="5" fillId="5" borderId="11" xfId="1" applyFont="1" applyFill="1" applyBorder="1" applyAlignment="1">
      <alignment vertical="center" wrapText="1"/>
    </xf>
    <xf numFmtId="0" fontId="5" fillId="5" borderId="12" xfId="1" applyFont="1" applyFill="1" applyBorder="1" applyAlignment="1">
      <alignment vertical="center" wrapText="1"/>
    </xf>
    <xf numFmtId="0" fontId="6" fillId="3" borderId="13" xfId="1" applyFont="1" applyFill="1" applyBorder="1" applyAlignment="1">
      <alignment vertical="center" wrapText="1"/>
    </xf>
    <xf numFmtId="0" fontId="6" fillId="3" borderId="14" xfId="1" applyFont="1" applyFill="1" applyBorder="1" applyAlignment="1">
      <alignment vertical="center" wrapText="1"/>
    </xf>
    <xf numFmtId="0" fontId="6" fillId="3" borderId="15" xfId="1" applyFont="1" applyFill="1" applyBorder="1" applyAlignment="1">
      <alignment vertical="center" wrapText="1"/>
    </xf>
    <xf numFmtId="0" fontId="6" fillId="3" borderId="16" xfId="1" applyFont="1" applyFill="1" applyBorder="1" applyAlignment="1">
      <alignment vertical="center" wrapText="1"/>
    </xf>
    <xf numFmtId="0" fontId="6" fillId="3" borderId="0" xfId="1" applyFont="1" applyFill="1" applyAlignment="1">
      <alignment vertical="center" wrapText="1"/>
    </xf>
    <xf numFmtId="0" fontId="6" fillId="3" borderId="17" xfId="1" applyFont="1" applyFill="1" applyBorder="1" applyAlignment="1">
      <alignment vertical="center" wrapText="1"/>
    </xf>
    <xf numFmtId="0" fontId="6" fillId="3" borderId="18" xfId="1" applyFont="1" applyFill="1" applyBorder="1" applyAlignment="1">
      <alignment vertical="center" wrapText="1"/>
    </xf>
    <xf numFmtId="0" fontId="6" fillId="3" borderId="19" xfId="1" applyFont="1" applyFill="1" applyBorder="1" applyAlignment="1">
      <alignment vertical="center" wrapText="1"/>
    </xf>
    <xf numFmtId="0" fontId="6" fillId="3" borderId="20" xfId="1" applyFont="1" applyFill="1" applyBorder="1" applyAlignment="1">
      <alignment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9" fontId="4" fillId="5" borderId="4" xfId="1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8">
    <dxf>
      <font>
        <color rgb="FF7A4E00"/>
      </font>
      <fill>
        <patternFill patternType="solid">
          <bgColor rgb="FFFFF5DA"/>
        </patternFill>
      </fill>
    </dxf>
    <dxf>
      <font>
        <color rgb="FF2E8B57"/>
      </font>
      <fill>
        <patternFill patternType="solid">
          <bgColor rgb="FFEAF7EF"/>
        </patternFill>
      </fill>
    </dxf>
    <dxf>
      <font>
        <b/>
        <color rgb="FFD94A4A"/>
      </font>
      <fill>
        <patternFill patternType="solid">
          <bgColor rgb="FFFDECEC"/>
        </patternFill>
      </fill>
    </dxf>
    <dxf>
      <font>
        <color rgb="FF7A4E00"/>
      </font>
      <fill>
        <patternFill patternType="solid">
          <bgColor rgb="FFFFF5DA"/>
        </patternFill>
      </fill>
    </dxf>
    <dxf>
      <font>
        <color rgb="FF2E8B57"/>
      </font>
      <fill>
        <patternFill patternType="solid">
          <bgColor rgb="FFEAF7EF"/>
        </patternFill>
      </fill>
    </dxf>
    <dxf>
      <font>
        <b/>
        <color rgb="FFD94A4A"/>
      </font>
      <fill>
        <patternFill patternType="solid">
          <bgColor rgb="FFFDECEC"/>
        </patternFill>
      </fill>
    </dxf>
    <dxf>
      <font>
        <b/>
        <color rgb="FF7A4E00"/>
      </font>
      <fill>
        <patternFill patternType="solid">
          <bgColor rgb="FFFFF5DA"/>
        </patternFill>
      </fill>
    </dxf>
    <dxf>
      <font>
        <b/>
        <color rgb="FF2E8B57"/>
      </font>
      <fill>
        <patternFill patternType="solid">
          <bgColor rgb="FFEAF7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房型匹配提升座位利用率（模拟）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人工基线</c:v>
          </c:tx>
          <c:invertIfNegative val="1"/>
          <c:cat>
            <c:strRef>
              <c:f>指标看板!$I$41:$I$42</c:f>
              <c:strCache>
                <c:ptCount val="2"/>
                <c:pt idx="0">
                  <c:v>座位利用率</c:v>
                </c:pt>
                <c:pt idx="1">
                  <c:v>偏好满足率</c:v>
                </c:pt>
              </c:strCache>
            </c:strRef>
          </c:cat>
          <c:val>
            <c:numRef>
              <c:f>指标看板!$J$41:$J$42</c:f>
              <c:numCache>
                <c:formatCode>0%</c:formatCode>
                <c:ptCount val="2"/>
                <c:pt idx="0">
                  <c:v>0.40476190476190477</c:v>
                </c:pt>
                <c:pt idx="1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4-48FD-8668-C4EBF3591BD5}"/>
            </c:ext>
          </c:extLst>
        </c:ser>
        <c:ser>
          <c:idx val="1"/>
          <c:order val="1"/>
          <c:tx>
            <c:v>优化方案</c:v>
          </c:tx>
          <c:invertIfNegative val="1"/>
          <c:cat>
            <c:strRef>
              <c:f>指标看板!$I$41:$I$42</c:f>
              <c:strCache>
                <c:ptCount val="2"/>
                <c:pt idx="0">
                  <c:v>座位利用率</c:v>
                </c:pt>
                <c:pt idx="1">
                  <c:v>偏好满足率</c:v>
                </c:pt>
              </c:strCache>
            </c:strRef>
          </c:cat>
          <c:val>
            <c:numRef>
              <c:f>指标看板!$K$41:$K$42</c:f>
              <c:numCache>
                <c:formatCode>0%</c:formatCode>
                <c:ptCount val="2"/>
                <c:pt idx="0">
                  <c:v>0.65384615384615385</c:v>
                </c:pt>
                <c:pt idx="1">
                  <c:v>0.91666666666666663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84-48FD-8668-C4EBF3591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排课与调课耗时对比（分钟，模拟）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人工基线</c:v>
          </c:tx>
          <c:invertIfNegative val="1"/>
          <c:cat>
            <c:strRef>
              <c:f>指标看板!$M$41:$M$42</c:f>
              <c:strCache>
                <c:ptCount val="2"/>
                <c:pt idx="0">
                  <c:v>首次排课</c:v>
                </c:pt>
                <c:pt idx="1">
                  <c:v>调课建议</c:v>
                </c:pt>
              </c:strCache>
            </c:strRef>
          </c:cat>
          <c:val>
            <c:numRef>
              <c:f>指标看板!$N$41:$N$42</c:f>
              <c:numCache>
                <c:formatCode>General</c:formatCode>
                <c:ptCount val="2"/>
                <c:pt idx="0">
                  <c:v>240</c:v>
                </c:pt>
                <c:pt idx="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E-48D9-B657-A3A79C6C0F1C}"/>
            </c:ext>
          </c:extLst>
        </c:ser>
        <c:ser>
          <c:idx val="1"/>
          <c:order val="1"/>
          <c:tx>
            <c:v>优化方案</c:v>
          </c:tx>
          <c:invertIfNegative val="1"/>
          <c:cat>
            <c:strRef>
              <c:f>指标看板!$M$41:$M$42</c:f>
              <c:strCache>
                <c:ptCount val="2"/>
                <c:pt idx="0">
                  <c:v>首次排课</c:v>
                </c:pt>
                <c:pt idx="1">
                  <c:v>调课建议</c:v>
                </c:pt>
              </c:strCache>
            </c:strRef>
          </c:cat>
          <c:val>
            <c:numRef>
              <c:f>指标看板!$O$41:$O$42</c:f>
              <c:numCache>
                <c:formatCode>General</c:formatCode>
                <c:ptCount val="2"/>
                <c:pt idx="0">
                  <c:v>12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0E-48D9-B657-A3A79C6C0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16</xdr:col>
      <xdr:colOff>0</xdr:colOff>
      <xdr:row>33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ualScheduleTable" displayName="ManualScheduleTable" ref="A4:U28" totalsRowShown="0">
  <tableColumns count="21">
    <tableColumn id="1" xr3:uid="{00000000-0010-0000-0000-000001000000}" name="版本"/>
    <tableColumn id="2" xr3:uid="{00000000-0010-0000-0000-000002000000}" name="场次ID"/>
    <tableColumn id="3" xr3:uid="{00000000-0010-0000-0000-000003000000}" name="班级ID"/>
    <tableColumn id="4" xr3:uid="{00000000-0010-0000-0000-000004000000}" name="教师ID"/>
    <tableColumn id="5" xr3:uid="{00000000-0010-0000-0000-000005000000}" name="时段ID"/>
    <tableColumn id="6" xr3:uid="{00000000-0010-0000-0000-000006000000}" name="教室ID"/>
    <tableColumn id="7" xr3:uid="{00000000-0010-0000-0000-000007000000}" name="学生数"/>
    <tableColumn id="8" xr3:uid="{00000000-0010-0000-0000-000008000000}" name="教室容量"/>
    <tableColumn id="9" xr3:uid="{00000000-0010-0000-0000-000009000000}" name="设备要求"/>
    <tableColumn id="10" xr3:uid="{00000000-0010-0000-0000-00000A000000}" name="教室设备"/>
    <tableColumn id="11" xr3:uid="{00000000-0010-0000-0000-00000B000000}" name="教师冲突"/>
    <tableColumn id="12" xr3:uid="{00000000-0010-0000-0000-00000C000000}" name="班级冲突"/>
    <tableColumn id="13" xr3:uid="{00000000-0010-0000-0000-00000D000000}" name="教室冲突"/>
    <tableColumn id="14" xr3:uid="{00000000-0010-0000-0000-00000E000000}" name="教师不可用"/>
    <tableColumn id="15" xr3:uid="{00000000-0010-0000-0000-00000F000000}" name="教室不可用"/>
    <tableColumn id="16" xr3:uid="{00000000-0010-0000-0000-000010000000}" name="容量违规"/>
    <tableColumn id="17" xr3:uid="{00000000-0010-0000-0000-000011000000}" name="设备违规"/>
    <tableColumn id="18" xr3:uid="{00000000-0010-0000-0000-000012000000}" name="硬冲突标记"/>
    <tableColumn id="19" xr3:uid="{00000000-0010-0000-0000-000013000000}" name="偏好满足"/>
    <tableColumn id="20" xr3:uid="{00000000-0010-0000-0000-000014000000}" name="房间时段首占"/>
    <tableColumn id="21" xr3:uid="{00000000-0010-0000-0000-000015000000}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ptimizedScheduleTable" displayName="OptimizedScheduleTable" ref="A4:U28" totalsRowShown="0">
  <tableColumns count="21">
    <tableColumn id="1" xr3:uid="{00000000-0010-0000-0100-000001000000}" name="版本"/>
    <tableColumn id="2" xr3:uid="{00000000-0010-0000-0100-000002000000}" name="场次ID"/>
    <tableColumn id="3" xr3:uid="{00000000-0010-0000-0100-000003000000}" name="班级ID"/>
    <tableColumn id="4" xr3:uid="{00000000-0010-0000-0100-000004000000}" name="教师ID"/>
    <tableColumn id="5" xr3:uid="{00000000-0010-0000-0100-000005000000}" name="时段ID"/>
    <tableColumn id="6" xr3:uid="{00000000-0010-0000-0100-000006000000}" name="教室ID"/>
    <tableColumn id="7" xr3:uid="{00000000-0010-0000-0100-000007000000}" name="学生数"/>
    <tableColumn id="8" xr3:uid="{00000000-0010-0000-0100-000008000000}" name="教室容量"/>
    <tableColumn id="9" xr3:uid="{00000000-0010-0000-0100-000009000000}" name="设备要求"/>
    <tableColumn id="10" xr3:uid="{00000000-0010-0000-0100-00000A000000}" name="教室设备"/>
    <tableColumn id="11" xr3:uid="{00000000-0010-0000-0100-00000B000000}" name="教师冲突"/>
    <tableColumn id="12" xr3:uid="{00000000-0010-0000-0100-00000C000000}" name="班级冲突"/>
    <tableColumn id="13" xr3:uid="{00000000-0010-0000-0100-00000D000000}" name="教室冲突"/>
    <tableColumn id="14" xr3:uid="{00000000-0010-0000-0100-00000E000000}" name="教师不可用"/>
    <tableColumn id="15" xr3:uid="{00000000-0010-0000-0100-00000F000000}" name="教室不可用"/>
    <tableColumn id="16" xr3:uid="{00000000-0010-0000-0100-000010000000}" name="容量违规"/>
    <tableColumn id="17" xr3:uid="{00000000-0010-0000-0100-000011000000}" name="设备违规"/>
    <tableColumn id="18" xr3:uid="{00000000-0010-0000-0100-000012000000}" name="硬冲突标记"/>
    <tableColumn id="19" xr3:uid="{00000000-0010-0000-0100-000013000000}" name="偏好满足"/>
    <tableColumn id="20" xr3:uid="{00000000-0010-0000-0100-000014000000}" name="房间时段首占"/>
    <tableColumn id="21" xr3:uid="{00000000-0010-0000-0100-000015000000}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topLeftCell="A2" workbookViewId="0">
      <selection sqref="A1:H1"/>
    </sheetView>
  </sheetViews>
  <sheetFormatPr defaultRowHeight="14.5" x14ac:dyDescent="0.35"/>
  <cols>
    <col min="1" max="1" width="16" customWidth="1"/>
    <col min="2" max="4" width="28" customWidth="1"/>
    <col min="5" max="5" width="36" customWidth="1"/>
    <col min="6" max="8" width="12" customWidth="1"/>
  </cols>
  <sheetData>
    <row r="1" spans="1:8" ht="34" customHeight="1" x14ac:dyDescent="0.35">
      <c r="A1" s="24" t="s">
        <v>0</v>
      </c>
      <c r="B1" s="24" t="s">
        <v>0</v>
      </c>
      <c r="C1" s="24" t="s">
        <v>0</v>
      </c>
      <c r="D1" s="24" t="s">
        <v>0</v>
      </c>
      <c r="E1" s="24" t="s">
        <v>0</v>
      </c>
      <c r="F1" s="24" t="s">
        <v>0</v>
      </c>
      <c r="G1" s="24" t="s">
        <v>0</v>
      </c>
      <c r="H1" s="24" t="s">
        <v>0</v>
      </c>
    </row>
    <row r="2" spans="1:8" ht="30" customHeight="1" x14ac:dyDescent="0.35">
      <c r="A2" s="25" t="s">
        <v>1</v>
      </c>
      <c r="B2" s="25" t="s">
        <v>1</v>
      </c>
      <c r="C2" s="25" t="s">
        <v>1</v>
      </c>
      <c r="D2" s="25" t="s">
        <v>1</v>
      </c>
      <c r="E2" s="25" t="s">
        <v>1</v>
      </c>
      <c r="F2" s="25" t="s">
        <v>1</v>
      </c>
      <c r="G2" s="25" t="s">
        <v>1</v>
      </c>
      <c r="H2" s="25" t="s">
        <v>1</v>
      </c>
    </row>
    <row r="3" spans="1:8" x14ac:dyDescent="0.35">
      <c r="A3" s="20"/>
      <c r="B3" s="20"/>
      <c r="C3" s="20"/>
      <c r="D3" s="20"/>
      <c r="E3" s="20"/>
      <c r="F3" s="20"/>
      <c r="G3" s="20"/>
      <c r="H3" s="20"/>
    </row>
    <row r="4" spans="1:8" ht="28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0"/>
      <c r="G4" s="20"/>
      <c r="H4" s="20"/>
    </row>
    <row r="5" spans="1:8" ht="42" customHeight="1" x14ac:dyDescent="0.3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0"/>
      <c r="G5" s="20"/>
      <c r="H5" s="20"/>
    </row>
    <row r="6" spans="1:8" ht="42" customHeight="1" x14ac:dyDescent="0.35">
      <c r="A6" s="3" t="s">
        <v>12</v>
      </c>
      <c r="B6" s="3" t="s">
        <v>13</v>
      </c>
      <c r="C6" s="3" t="s">
        <v>14</v>
      </c>
      <c r="D6" s="3" t="s">
        <v>15</v>
      </c>
      <c r="E6" s="3" t="s">
        <v>16</v>
      </c>
      <c r="F6" s="20"/>
      <c r="G6" s="20"/>
      <c r="H6" s="20"/>
    </row>
    <row r="7" spans="1:8" ht="42" customHeight="1" x14ac:dyDescent="0.35">
      <c r="A7" s="3" t="s">
        <v>17</v>
      </c>
      <c r="B7" s="3" t="s">
        <v>18</v>
      </c>
      <c r="C7" s="3" t="s">
        <v>19</v>
      </c>
      <c r="D7" s="3" t="s">
        <v>20</v>
      </c>
      <c r="E7" s="3" t="s">
        <v>21</v>
      </c>
      <c r="F7" s="20"/>
      <c r="G7" s="20"/>
      <c r="H7" s="20"/>
    </row>
    <row r="8" spans="1:8" ht="42" customHeight="1" x14ac:dyDescent="0.35">
      <c r="A8" s="3" t="s">
        <v>22</v>
      </c>
      <c r="B8" s="3" t="s">
        <v>23</v>
      </c>
      <c r="C8" s="3" t="s">
        <v>24</v>
      </c>
      <c r="D8" s="3" t="s">
        <v>25</v>
      </c>
      <c r="E8" s="3" t="s">
        <v>26</v>
      </c>
      <c r="F8" s="20"/>
      <c r="G8" s="20"/>
      <c r="H8" s="20"/>
    </row>
    <row r="9" spans="1:8" ht="42" customHeight="1" x14ac:dyDescent="0.35">
      <c r="A9" s="3" t="s">
        <v>27</v>
      </c>
      <c r="B9" s="3" t="s">
        <v>28</v>
      </c>
      <c r="C9" s="3" t="s">
        <v>29</v>
      </c>
      <c r="D9" s="3" t="s">
        <v>30</v>
      </c>
      <c r="E9" s="3" t="s">
        <v>31</v>
      </c>
      <c r="F9" s="20"/>
      <c r="G9" s="20"/>
      <c r="H9" s="20"/>
    </row>
    <row r="10" spans="1:8" ht="42" customHeight="1" x14ac:dyDescent="0.35">
      <c r="A10" s="4" t="s">
        <v>32</v>
      </c>
      <c r="B10" s="4" t="s">
        <v>33</v>
      </c>
      <c r="C10" s="4" t="s">
        <v>34</v>
      </c>
      <c r="D10" s="4" t="s">
        <v>35</v>
      </c>
      <c r="E10" s="4" t="s">
        <v>36</v>
      </c>
      <c r="F10" s="20"/>
      <c r="G10" s="20"/>
      <c r="H10" s="20"/>
    </row>
    <row r="11" spans="1:8" x14ac:dyDescent="0.35">
      <c r="A11" s="20"/>
      <c r="B11" s="20"/>
      <c r="C11" s="20"/>
      <c r="D11" s="20"/>
      <c r="E11" s="20"/>
      <c r="F11" s="20"/>
      <c r="G11" s="20"/>
      <c r="H11" s="20"/>
    </row>
    <row r="12" spans="1:8" x14ac:dyDescent="0.35">
      <c r="A12" s="26" t="s">
        <v>37</v>
      </c>
      <c r="B12" s="27" t="s">
        <v>37</v>
      </c>
      <c r="C12" s="27" t="s">
        <v>37</v>
      </c>
      <c r="D12" s="27" t="s">
        <v>37</v>
      </c>
      <c r="E12" s="27" t="s">
        <v>37</v>
      </c>
      <c r="F12" s="27" t="s">
        <v>37</v>
      </c>
      <c r="G12" s="27" t="s">
        <v>37</v>
      </c>
      <c r="H12" s="28" t="s">
        <v>37</v>
      </c>
    </row>
    <row r="13" spans="1:8" x14ac:dyDescent="0.35">
      <c r="A13" s="29" t="s">
        <v>37</v>
      </c>
      <c r="B13" s="30" t="s">
        <v>37</v>
      </c>
      <c r="C13" s="30" t="s">
        <v>37</v>
      </c>
      <c r="D13" s="30" t="s">
        <v>37</v>
      </c>
      <c r="E13" s="30" t="s">
        <v>37</v>
      </c>
      <c r="F13" s="30" t="s">
        <v>37</v>
      </c>
      <c r="G13" s="30" t="s">
        <v>37</v>
      </c>
      <c r="H13" s="31" t="s">
        <v>37</v>
      </c>
    </row>
    <row r="14" spans="1:8" x14ac:dyDescent="0.35">
      <c r="A14" s="32" t="s">
        <v>37</v>
      </c>
      <c r="B14" s="33" t="s">
        <v>37</v>
      </c>
      <c r="C14" s="33" t="s">
        <v>37</v>
      </c>
      <c r="D14" s="33" t="s">
        <v>37</v>
      </c>
      <c r="E14" s="33" t="s">
        <v>37</v>
      </c>
      <c r="F14" s="33" t="s">
        <v>37</v>
      </c>
      <c r="G14" s="33" t="s">
        <v>37</v>
      </c>
      <c r="H14" s="34" t="s">
        <v>37</v>
      </c>
    </row>
  </sheetData>
  <mergeCells count="3">
    <mergeCell ref="A1:H1"/>
    <mergeCell ref="A2:H2"/>
    <mergeCell ref="A12:H14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showGridLines="0" workbookViewId="0">
      <selection sqref="A1:G1"/>
    </sheetView>
  </sheetViews>
  <sheetFormatPr defaultRowHeight="14.5" x14ac:dyDescent="0.35"/>
  <cols>
    <col min="1" max="1" width="26" customWidth="1"/>
    <col min="2" max="5" width="16" customWidth="1"/>
    <col min="6" max="6" width="14" customWidth="1"/>
    <col min="7" max="7" width="38" customWidth="1"/>
    <col min="8" max="8" width="4" customWidth="1"/>
    <col min="9" max="11" width="16" customWidth="1"/>
    <col min="12" max="12" width="4" customWidth="1"/>
    <col min="13" max="15" width="16" customWidth="1"/>
  </cols>
  <sheetData>
    <row r="1" spans="1:15" ht="34" customHeight="1" x14ac:dyDescent="0.35">
      <c r="A1" s="24" t="s">
        <v>38</v>
      </c>
      <c r="B1" s="24" t="s">
        <v>38</v>
      </c>
      <c r="C1" s="24" t="s">
        <v>38</v>
      </c>
      <c r="D1" s="24" t="s">
        <v>38</v>
      </c>
      <c r="E1" s="24" t="s">
        <v>38</v>
      </c>
      <c r="F1" s="24" t="s">
        <v>38</v>
      </c>
      <c r="G1" s="24" t="s">
        <v>38</v>
      </c>
      <c r="H1" s="20"/>
      <c r="I1" s="20"/>
      <c r="J1" s="20"/>
      <c r="K1" s="20"/>
      <c r="L1" s="20"/>
      <c r="M1" s="20"/>
      <c r="N1" s="20"/>
      <c r="O1" s="20"/>
    </row>
    <row r="2" spans="1:15" ht="30" customHeight="1" x14ac:dyDescent="0.35">
      <c r="A2" s="25" t="s">
        <v>39</v>
      </c>
      <c r="B2" s="25" t="s">
        <v>39</v>
      </c>
      <c r="C2" s="25" t="s">
        <v>39</v>
      </c>
      <c r="D2" s="25" t="s">
        <v>39</v>
      </c>
      <c r="E2" s="25" t="s">
        <v>39</v>
      </c>
      <c r="F2" s="25" t="s">
        <v>39</v>
      </c>
      <c r="G2" s="25" t="s">
        <v>39</v>
      </c>
      <c r="H2" s="20"/>
      <c r="I2" s="20"/>
      <c r="J2" s="20"/>
      <c r="K2" s="20"/>
      <c r="L2" s="20"/>
      <c r="M2" s="20"/>
      <c r="N2" s="20"/>
      <c r="O2" s="20"/>
    </row>
    <row r="3" spans="1:15" x14ac:dyDescent="0.3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5" ht="28" customHeight="1" x14ac:dyDescent="0.35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  <c r="H4" s="20"/>
      <c r="I4" s="20"/>
      <c r="J4" s="20"/>
      <c r="K4" s="20"/>
      <c r="L4" s="20"/>
      <c r="M4" s="20"/>
      <c r="N4" s="20"/>
      <c r="O4" s="20"/>
    </row>
    <row r="5" spans="1:15" ht="34" customHeight="1" x14ac:dyDescent="0.35">
      <c r="A5" s="2" t="s">
        <v>47</v>
      </c>
      <c r="B5" s="17">
        <f>SUM(人工基线课表!$G$5:$G$28)/SUM(人工基线课表!$H$5:$H$28)</f>
        <v>0.40476190476190477</v>
      </c>
      <c r="C5" s="17">
        <f>SUM(优化课表!$G$5:$G$28)/SUM(优化课表!$H$5:$H$28)</f>
        <v>0.65384615384615385</v>
      </c>
      <c r="D5" s="17">
        <f t="shared" ref="D5:D12" si="0">C5-B5</f>
        <v>0.24908424908424909</v>
      </c>
      <c r="E5" s="17">
        <v>0.65</v>
      </c>
      <c r="F5" s="2" t="str">
        <f>IF(C5&gt;=E5,"达标","未达标")</f>
        <v>达标</v>
      </c>
      <c r="G5" s="2" t="s">
        <v>48</v>
      </c>
      <c r="H5" s="20"/>
      <c r="I5" s="20"/>
      <c r="J5" s="20"/>
      <c r="K5" s="20"/>
      <c r="L5" s="20"/>
      <c r="M5" s="20"/>
      <c r="N5" s="20"/>
      <c r="O5" s="20"/>
    </row>
    <row r="6" spans="1:15" ht="34" customHeight="1" x14ac:dyDescent="0.35">
      <c r="A6" s="3" t="s">
        <v>49</v>
      </c>
      <c r="B6" s="18">
        <f>SUM(人工基线课表!$T$5:$T$28)/场景参数!$C$7</f>
        <v>0.36666666666666664</v>
      </c>
      <c r="C6" s="18">
        <f>SUM(优化课表!$T$5:$T$28)/场景参数!$D$7</f>
        <v>0.4</v>
      </c>
      <c r="D6" s="18">
        <f t="shared" si="0"/>
        <v>3.3333333333333381E-2</v>
      </c>
      <c r="E6" s="18">
        <v>0.4</v>
      </c>
      <c r="F6" s="3" t="str">
        <f>IF(C6&gt;=E6,"达标","未达标")</f>
        <v>达标</v>
      </c>
      <c r="G6" s="3" t="s">
        <v>50</v>
      </c>
      <c r="H6" s="20"/>
      <c r="I6" s="20"/>
      <c r="J6" s="20"/>
      <c r="K6" s="20"/>
      <c r="L6" s="20"/>
      <c r="M6" s="20"/>
      <c r="N6" s="20"/>
      <c r="O6" s="20"/>
    </row>
    <row r="7" spans="1:15" ht="34" customHeight="1" x14ac:dyDescent="0.35">
      <c r="A7" s="3" t="s">
        <v>51</v>
      </c>
      <c r="B7" s="3">
        <f>SUM(人工基线课表!$R$5:$R$28)</f>
        <v>4</v>
      </c>
      <c r="C7" s="3">
        <f>SUM(优化课表!$R$5:$R$28)</f>
        <v>0</v>
      </c>
      <c r="D7" s="3">
        <f t="shared" si="0"/>
        <v>-4</v>
      </c>
      <c r="E7" s="3">
        <v>0</v>
      </c>
      <c r="F7" s="3" t="str">
        <f>IF(C7=E7,"达标","未达标")</f>
        <v>达标</v>
      </c>
      <c r="G7" s="3" t="s">
        <v>52</v>
      </c>
      <c r="H7" s="20"/>
      <c r="I7" s="20"/>
      <c r="J7" s="20"/>
      <c r="K7" s="20"/>
      <c r="L7" s="20"/>
      <c r="M7" s="20"/>
      <c r="N7" s="20"/>
      <c r="O7" s="20"/>
    </row>
    <row r="8" spans="1:15" ht="34" customHeight="1" x14ac:dyDescent="0.35">
      <c r="A8" s="3" t="s">
        <v>53</v>
      </c>
      <c r="B8" s="18">
        <f>AVERAGE(人工基线课表!$S$5:$S$28)</f>
        <v>0.83333333333333337</v>
      </c>
      <c r="C8" s="18">
        <f>AVERAGE(优化课表!$S$5:$S$28)</f>
        <v>0.91666666666666663</v>
      </c>
      <c r="D8" s="18">
        <f t="shared" si="0"/>
        <v>8.3333333333333259E-2</v>
      </c>
      <c r="E8" s="18">
        <v>0.85</v>
      </c>
      <c r="F8" s="3" t="str">
        <f>IF(C8&gt;=E8,"达标","未达标")</f>
        <v>达标</v>
      </c>
      <c r="G8" s="3" t="s">
        <v>54</v>
      </c>
      <c r="H8" s="20"/>
      <c r="I8" s="20"/>
      <c r="J8" s="20"/>
      <c r="K8" s="20"/>
      <c r="L8" s="20"/>
      <c r="M8" s="20"/>
      <c r="N8" s="20"/>
      <c r="O8" s="20"/>
    </row>
    <row r="9" spans="1:15" ht="34" customHeight="1" x14ac:dyDescent="0.35">
      <c r="A9" s="3" t="s">
        <v>55</v>
      </c>
      <c r="B9" s="3">
        <f>场景参数!$C$5</f>
        <v>240</v>
      </c>
      <c r="C9" s="3">
        <f>场景参数!$D$5</f>
        <v>12</v>
      </c>
      <c r="D9" s="3">
        <f t="shared" si="0"/>
        <v>-228</v>
      </c>
      <c r="E9" s="3">
        <v>15</v>
      </c>
      <c r="F9" s="3" t="str">
        <f>IF(C9&lt;=E9,"达标","未达标")</f>
        <v>达标</v>
      </c>
      <c r="G9" s="3" t="s">
        <v>56</v>
      </c>
      <c r="H9" s="20"/>
      <c r="I9" s="20"/>
      <c r="J9" s="20"/>
      <c r="K9" s="20"/>
      <c r="L9" s="20"/>
      <c r="M9" s="20"/>
      <c r="N9" s="20"/>
      <c r="O9" s="20"/>
    </row>
    <row r="10" spans="1:15" ht="34" customHeight="1" x14ac:dyDescent="0.35">
      <c r="A10" s="3" t="s">
        <v>57</v>
      </c>
      <c r="B10" s="3">
        <f>场景参数!$C$6</f>
        <v>45</v>
      </c>
      <c r="C10" s="3">
        <f>场景参数!$D$6</f>
        <v>4</v>
      </c>
      <c r="D10" s="3">
        <f t="shared" si="0"/>
        <v>-41</v>
      </c>
      <c r="E10" s="3">
        <v>5</v>
      </c>
      <c r="F10" s="3" t="str">
        <f>IF(C10&lt;=E10,"达标","未达标")</f>
        <v>达标</v>
      </c>
      <c r="G10" s="3" t="s">
        <v>58</v>
      </c>
      <c r="H10" s="20"/>
      <c r="I10" s="20"/>
      <c r="J10" s="20"/>
      <c r="K10" s="20"/>
      <c r="L10" s="20"/>
      <c r="M10" s="20"/>
      <c r="N10" s="20"/>
      <c r="O10" s="20"/>
    </row>
    <row r="11" spans="1:15" ht="34" customHeight="1" x14ac:dyDescent="0.35">
      <c r="A11" s="3" t="s">
        <v>59</v>
      </c>
      <c r="B11" s="3">
        <f>场景参数!$C$8</f>
        <v>50</v>
      </c>
      <c r="C11" s="3">
        <f>场景参数!$D$8</f>
        <v>18</v>
      </c>
      <c r="D11" s="3">
        <f t="shared" si="0"/>
        <v>-32</v>
      </c>
      <c r="E11" s="3">
        <v>20</v>
      </c>
      <c r="F11" s="3" t="str">
        <f>IF(C11&lt;=E11,"达标","未达标")</f>
        <v>达标</v>
      </c>
      <c r="G11" s="3" t="s">
        <v>60</v>
      </c>
      <c r="H11" s="20"/>
      <c r="I11" s="20"/>
      <c r="J11" s="20"/>
      <c r="K11" s="20"/>
      <c r="L11" s="20"/>
      <c r="M11" s="20"/>
      <c r="N11" s="20"/>
      <c r="O11" s="20"/>
    </row>
    <row r="12" spans="1:15" ht="34" customHeight="1" x14ac:dyDescent="0.35">
      <c r="A12" s="4" t="s">
        <v>61</v>
      </c>
      <c r="B12" s="19">
        <f>场景参数!$C$9</f>
        <v>0.25</v>
      </c>
      <c r="C12" s="19">
        <f>场景参数!$D$9</f>
        <v>1</v>
      </c>
      <c r="D12" s="19">
        <f t="shared" si="0"/>
        <v>0.75</v>
      </c>
      <c r="E12" s="19">
        <v>1</v>
      </c>
      <c r="F12" s="4" t="str">
        <f>IF(C12&gt;=E12,"达标","未达标")</f>
        <v>达标</v>
      </c>
      <c r="G12" s="4" t="s">
        <v>62</v>
      </c>
      <c r="H12" s="20"/>
      <c r="I12" s="20"/>
      <c r="J12" s="20"/>
      <c r="K12" s="20"/>
      <c r="L12" s="20"/>
      <c r="M12" s="20"/>
      <c r="N12" s="20"/>
      <c r="O12" s="20"/>
    </row>
    <row r="13" spans="1:15" x14ac:dyDescent="0.3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</row>
    <row r="14" spans="1:15" x14ac:dyDescent="0.3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</row>
    <row r="15" spans="1:15" x14ac:dyDescent="0.35">
      <c r="A15" s="35" t="s">
        <v>63</v>
      </c>
      <c r="B15" s="36" t="s">
        <v>63</v>
      </c>
      <c r="C15" s="36" t="s">
        <v>63</v>
      </c>
      <c r="D15" s="36" t="s">
        <v>63</v>
      </c>
      <c r="E15" s="36" t="s">
        <v>63</v>
      </c>
      <c r="F15" s="36" t="s">
        <v>63</v>
      </c>
      <c r="G15" s="37" t="s">
        <v>63</v>
      </c>
      <c r="H15" s="20"/>
      <c r="I15" s="20"/>
      <c r="J15" s="20"/>
      <c r="K15" s="20"/>
      <c r="L15" s="20"/>
      <c r="M15" s="20"/>
      <c r="N15" s="20"/>
      <c r="O15" s="20"/>
    </row>
    <row r="16" spans="1:15" x14ac:dyDescent="0.35">
      <c r="A16" s="38" t="s">
        <v>63</v>
      </c>
      <c r="B16" s="39" t="s">
        <v>63</v>
      </c>
      <c r="C16" s="39" t="s">
        <v>63</v>
      </c>
      <c r="D16" s="39" t="s">
        <v>63</v>
      </c>
      <c r="E16" s="39" t="s">
        <v>63</v>
      </c>
      <c r="F16" s="39" t="s">
        <v>63</v>
      </c>
      <c r="G16" s="40" t="s">
        <v>63</v>
      </c>
      <c r="H16" s="20"/>
      <c r="I16" s="20"/>
      <c r="J16" s="20"/>
      <c r="K16" s="20"/>
      <c r="L16" s="20"/>
      <c r="M16" s="20"/>
      <c r="N16" s="20"/>
      <c r="O16" s="20"/>
    </row>
    <row r="17" spans="1:15" x14ac:dyDescent="0.35">
      <c r="A17" s="41" t="s">
        <v>63</v>
      </c>
      <c r="B17" s="42" t="s">
        <v>63</v>
      </c>
      <c r="C17" s="42" t="s">
        <v>63</v>
      </c>
      <c r="D17" s="42" t="s">
        <v>63</v>
      </c>
      <c r="E17" s="42" t="s">
        <v>63</v>
      </c>
      <c r="F17" s="42" t="s">
        <v>63</v>
      </c>
      <c r="G17" s="43" t="s">
        <v>63</v>
      </c>
      <c r="H17" s="20"/>
      <c r="I17" s="20"/>
      <c r="J17" s="20"/>
      <c r="K17" s="20"/>
      <c r="L17" s="20"/>
      <c r="M17" s="20"/>
      <c r="N17" s="20"/>
      <c r="O17" s="20"/>
    </row>
    <row r="18" spans="1:15" x14ac:dyDescent="0.3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 spans="1:15" x14ac:dyDescent="0.3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x14ac:dyDescent="0.3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spans="1:15" x14ac:dyDescent="0.3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</row>
    <row r="22" spans="1:15" x14ac:dyDescent="0.3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spans="1:15" x14ac:dyDescent="0.3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</row>
    <row r="24" spans="1:15" x14ac:dyDescent="0.3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1:15" x14ac:dyDescent="0.3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</row>
    <row r="26" spans="1:15" x14ac:dyDescent="0.3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</row>
    <row r="27" spans="1:15" x14ac:dyDescent="0.3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</row>
    <row r="28" spans="1:15" x14ac:dyDescent="0.3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</row>
    <row r="29" spans="1:15" x14ac:dyDescent="0.3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</row>
    <row r="30" spans="1:15" x14ac:dyDescent="0.3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spans="1:15" x14ac:dyDescent="0.3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</row>
    <row r="32" spans="1:15" x14ac:dyDescent="0.3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</row>
    <row r="33" spans="1:15" x14ac:dyDescent="0.3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</row>
    <row r="34" spans="1:15" x14ac:dyDescent="0.3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</row>
    <row r="35" spans="1:15" x14ac:dyDescent="0.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</row>
    <row r="36" spans="1:15" x14ac:dyDescent="0.3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</row>
    <row r="37" spans="1:15" x14ac:dyDescent="0.3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</row>
    <row r="38" spans="1:15" x14ac:dyDescent="0.3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1:15" x14ac:dyDescent="0.3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</row>
    <row r="40" spans="1:15" x14ac:dyDescent="0.35">
      <c r="A40" s="20"/>
      <c r="B40" s="20"/>
      <c r="C40" s="20"/>
      <c r="D40" s="20"/>
      <c r="E40" s="20"/>
      <c r="F40" s="20"/>
      <c r="G40" s="20"/>
      <c r="H40" s="20"/>
      <c r="I40" s="21" t="s">
        <v>64</v>
      </c>
      <c r="J40" s="21" t="s">
        <v>41</v>
      </c>
      <c r="K40" s="21" t="s">
        <v>42</v>
      </c>
      <c r="L40" s="20"/>
      <c r="M40" s="22" t="s">
        <v>65</v>
      </c>
      <c r="N40" s="22" t="s">
        <v>41</v>
      </c>
      <c r="O40" s="22" t="s">
        <v>42</v>
      </c>
    </row>
    <row r="41" spans="1:15" x14ac:dyDescent="0.35">
      <c r="A41" s="20"/>
      <c r="B41" s="20"/>
      <c r="C41" s="20"/>
      <c r="D41" s="20"/>
      <c r="E41" s="20"/>
      <c r="F41" s="20"/>
      <c r="G41" s="20"/>
      <c r="H41" s="20"/>
      <c r="I41" s="20" t="s">
        <v>47</v>
      </c>
      <c r="J41" s="23">
        <f>B5</f>
        <v>0.40476190476190477</v>
      </c>
      <c r="K41" s="23">
        <f>C5</f>
        <v>0.65384615384615385</v>
      </c>
      <c r="L41" s="20"/>
      <c r="M41" s="20" t="s">
        <v>66</v>
      </c>
      <c r="N41" s="20">
        <f>B9</f>
        <v>240</v>
      </c>
      <c r="O41" s="20">
        <f>C9</f>
        <v>12</v>
      </c>
    </row>
    <row r="42" spans="1:15" x14ac:dyDescent="0.35">
      <c r="A42" s="20"/>
      <c r="B42" s="20"/>
      <c r="C42" s="20"/>
      <c r="D42" s="20"/>
      <c r="E42" s="20"/>
      <c r="F42" s="20"/>
      <c r="G42" s="20"/>
      <c r="H42" s="20"/>
      <c r="I42" s="20" t="s">
        <v>53</v>
      </c>
      <c r="J42" s="23">
        <f>B8</f>
        <v>0.83333333333333337</v>
      </c>
      <c r="K42" s="23">
        <f>C8</f>
        <v>0.91666666666666663</v>
      </c>
      <c r="L42" s="20"/>
      <c r="M42" s="20" t="s">
        <v>67</v>
      </c>
      <c r="N42" s="20">
        <f>B10</f>
        <v>45</v>
      </c>
      <c r="O42" s="20">
        <f>C10</f>
        <v>4</v>
      </c>
    </row>
  </sheetData>
  <mergeCells count="3">
    <mergeCell ref="A1:G1"/>
    <mergeCell ref="A2:G2"/>
    <mergeCell ref="A15:G17"/>
  </mergeCells>
  <phoneticPr fontId="8" type="noConversion"/>
  <conditionalFormatting sqref="F5:F12">
    <cfRule type="containsText" dxfId="7" priority="1" operator="containsText" text="达标"/>
    <cfRule type="containsText" dxfId="6" priority="2" operator="containsText" text="未达标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showGridLines="0" workbookViewId="0">
      <selection activeCell="D18" sqref="D18"/>
    </sheetView>
  </sheetViews>
  <sheetFormatPr defaultRowHeight="14.5" x14ac:dyDescent="0.35"/>
  <cols>
    <col min="1" max="1" width="12" customWidth="1"/>
    <col min="2" max="2" width="28" customWidth="1"/>
    <col min="3" max="4" width="16" customWidth="1"/>
    <col min="5" max="6" width="18" customWidth="1"/>
  </cols>
  <sheetData>
    <row r="1" spans="1:6" ht="34" customHeight="1" x14ac:dyDescent="0.35">
      <c r="A1" s="24" t="s">
        <v>68</v>
      </c>
      <c r="B1" s="24" t="s">
        <v>68</v>
      </c>
      <c r="C1" s="24" t="s">
        <v>68</v>
      </c>
      <c r="D1" s="24" t="s">
        <v>68</v>
      </c>
      <c r="E1" s="24" t="s">
        <v>68</v>
      </c>
      <c r="F1" s="24" t="s">
        <v>68</v>
      </c>
    </row>
    <row r="2" spans="1:6" ht="30" customHeight="1" x14ac:dyDescent="0.35">
      <c r="A2" s="25" t="s">
        <v>69</v>
      </c>
      <c r="B2" s="25" t="s">
        <v>69</v>
      </c>
      <c r="C2" s="25" t="s">
        <v>69</v>
      </c>
      <c r="D2" s="25" t="s">
        <v>69</v>
      </c>
      <c r="E2" s="25" t="s">
        <v>69</v>
      </c>
      <c r="F2" s="25" t="s">
        <v>69</v>
      </c>
    </row>
    <row r="3" spans="1:6" x14ac:dyDescent="0.35">
      <c r="A3" s="20"/>
      <c r="B3" s="20"/>
      <c r="C3" s="20"/>
      <c r="D3" s="20"/>
      <c r="E3" s="20"/>
      <c r="F3" s="20"/>
    </row>
    <row r="4" spans="1:6" ht="28" customHeight="1" x14ac:dyDescent="0.35">
      <c r="A4" s="1" t="s">
        <v>70</v>
      </c>
      <c r="B4" s="1" t="s">
        <v>71</v>
      </c>
      <c r="C4" s="1" t="s">
        <v>41</v>
      </c>
      <c r="D4" s="1" t="s">
        <v>42</v>
      </c>
      <c r="E4" s="1" t="s">
        <v>72</v>
      </c>
      <c r="F4" s="1" t="s">
        <v>73</v>
      </c>
    </row>
    <row r="5" spans="1:6" ht="22" customHeight="1" x14ac:dyDescent="0.35">
      <c r="A5" s="2" t="s">
        <v>74</v>
      </c>
      <c r="B5" s="2" t="s">
        <v>75</v>
      </c>
      <c r="C5" s="44">
        <v>240</v>
      </c>
      <c r="D5" s="44">
        <v>12</v>
      </c>
      <c r="E5" s="2" t="s">
        <v>76</v>
      </c>
      <c r="F5" s="2" t="s">
        <v>77</v>
      </c>
    </row>
    <row r="6" spans="1:6" ht="22" customHeight="1" x14ac:dyDescent="0.35">
      <c r="A6" s="3" t="s">
        <v>78</v>
      </c>
      <c r="B6" s="3" t="s">
        <v>79</v>
      </c>
      <c r="C6" s="45">
        <v>45</v>
      </c>
      <c r="D6" s="45">
        <v>4</v>
      </c>
      <c r="E6" s="3" t="s">
        <v>76</v>
      </c>
      <c r="F6" s="3" t="s">
        <v>77</v>
      </c>
    </row>
    <row r="7" spans="1:6" ht="22" customHeight="1" x14ac:dyDescent="0.35">
      <c r="A7" s="3" t="s">
        <v>80</v>
      </c>
      <c r="B7" s="3" t="s">
        <v>81</v>
      </c>
      <c r="C7" s="45">
        <v>60</v>
      </c>
      <c r="D7" s="45">
        <v>60</v>
      </c>
      <c r="E7" s="3" t="s">
        <v>82</v>
      </c>
      <c r="F7" s="3" t="s">
        <v>83</v>
      </c>
    </row>
    <row r="8" spans="1:6" ht="22" customHeight="1" x14ac:dyDescent="0.35">
      <c r="A8" s="3" t="s">
        <v>84</v>
      </c>
      <c r="B8" s="3" t="s">
        <v>85</v>
      </c>
      <c r="C8" s="45">
        <v>50</v>
      </c>
      <c r="D8" s="45">
        <v>18</v>
      </c>
      <c r="E8" s="3" t="s">
        <v>86</v>
      </c>
      <c r="F8" s="3" t="s">
        <v>77</v>
      </c>
    </row>
    <row r="9" spans="1:6" ht="22" customHeight="1" x14ac:dyDescent="0.35">
      <c r="A9" s="4" t="s">
        <v>87</v>
      </c>
      <c r="B9" s="4" t="s">
        <v>61</v>
      </c>
      <c r="C9" s="46">
        <v>0.25</v>
      </c>
      <c r="D9" s="46">
        <v>1</v>
      </c>
      <c r="E9" s="4" t="s">
        <v>88</v>
      </c>
      <c r="F9" s="4" t="s">
        <v>89</v>
      </c>
    </row>
  </sheetData>
  <mergeCells count="2">
    <mergeCell ref="A1:F1"/>
    <mergeCell ref="A2:F2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showGridLines="0" workbookViewId="0">
      <selection sqref="A1:G1"/>
    </sheetView>
  </sheetViews>
  <sheetFormatPr defaultRowHeight="14.5" x14ac:dyDescent="0.35"/>
  <cols>
    <col min="1" max="2" width="13" customWidth="1"/>
    <col min="3" max="3" width="12" customWidth="1"/>
    <col min="4" max="4" width="14" customWidth="1"/>
    <col min="5" max="6" width="28" customWidth="1"/>
    <col min="7" max="7" width="12" customWidth="1"/>
  </cols>
  <sheetData>
    <row r="1" spans="1:7" ht="34" customHeight="1" x14ac:dyDescent="0.35">
      <c r="A1" s="24" t="s">
        <v>90</v>
      </c>
      <c r="B1" s="24" t="s">
        <v>90</v>
      </c>
      <c r="C1" s="24" t="s">
        <v>90</v>
      </c>
      <c r="D1" s="24" t="s">
        <v>90</v>
      </c>
      <c r="E1" s="24" t="s">
        <v>90</v>
      </c>
      <c r="F1" s="24" t="s">
        <v>90</v>
      </c>
      <c r="G1" s="24" t="s">
        <v>90</v>
      </c>
    </row>
    <row r="2" spans="1:7" ht="30" customHeight="1" x14ac:dyDescent="0.35">
      <c r="A2" s="25" t="s">
        <v>91</v>
      </c>
      <c r="B2" s="25" t="s">
        <v>91</v>
      </c>
      <c r="C2" s="25" t="s">
        <v>91</v>
      </c>
      <c r="D2" s="25" t="s">
        <v>91</v>
      </c>
      <c r="E2" s="25" t="s">
        <v>91</v>
      </c>
      <c r="F2" s="25" t="s">
        <v>91</v>
      </c>
      <c r="G2" s="25" t="s">
        <v>91</v>
      </c>
    </row>
    <row r="3" spans="1:7" x14ac:dyDescent="0.35">
      <c r="A3" s="20"/>
      <c r="B3" s="20"/>
      <c r="C3" s="20"/>
      <c r="D3" s="20"/>
      <c r="E3" s="20"/>
      <c r="F3" s="20"/>
      <c r="G3" s="20"/>
    </row>
    <row r="4" spans="1:7" ht="28" customHeight="1" x14ac:dyDescent="0.35">
      <c r="A4" s="1" t="s">
        <v>92</v>
      </c>
      <c r="B4" s="1" t="s">
        <v>93</v>
      </c>
      <c r="C4" s="1" t="s">
        <v>94</v>
      </c>
      <c r="D4" s="1" t="s">
        <v>95</v>
      </c>
      <c r="E4" s="1" t="s">
        <v>96</v>
      </c>
      <c r="F4" s="1" t="s">
        <v>97</v>
      </c>
      <c r="G4" s="1" t="s">
        <v>98</v>
      </c>
    </row>
    <row r="5" spans="1:7" ht="22" customHeight="1" x14ac:dyDescent="0.35">
      <c r="A5" s="2" t="s">
        <v>99</v>
      </c>
      <c r="B5" s="2" t="s">
        <v>100</v>
      </c>
      <c r="C5" s="2" t="s">
        <v>101</v>
      </c>
      <c r="D5" s="2">
        <v>8</v>
      </c>
      <c r="E5" s="2" t="s">
        <v>102</v>
      </c>
      <c r="F5" s="2" t="s">
        <v>103</v>
      </c>
      <c r="G5" s="2" t="s">
        <v>104</v>
      </c>
    </row>
    <row r="6" spans="1:7" ht="22" customHeight="1" x14ac:dyDescent="0.35">
      <c r="A6" s="3" t="s">
        <v>105</v>
      </c>
      <c r="B6" s="3" t="s">
        <v>106</v>
      </c>
      <c r="C6" s="3" t="s">
        <v>107</v>
      </c>
      <c r="D6" s="3">
        <v>8</v>
      </c>
      <c r="E6" s="3" t="s">
        <v>102</v>
      </c>
      <c r="F6" s="3" t="s">
        <v>108</v>
      </c>
      <c r="G6" s="3" t="s">
        <v>104</v>
      </c>
    </row>
    <row r="7" spans="1:7" ht="22" customHeight="1" x14ac:dyDescent="0.35">
      <c r="A7" s="3" t="s">
        <v>109</v>
      </c>
      <c r="B7" s="3" t="s">
        <v>110</v>
      </c>
      <c r="C7" s="3" t="s">
        <v>111</v>
      </c>
      <c r="D7" s="3">
        <v>8</v>
      </c>
      <c r="E7" s="3" t="s">
        <v>102</v>
      </c>
      <c r="F7" s="3" t="s">
        <v>112</v>
      </c>
      <c r="G7" s="3" t="s">
        <v>104</v>
      </c>
    </row>
    <row r="8" spans="1:7" ht="22" customHeight="1" x14ac:dyDescent="0.35">
      <c r="A8" s="3" t="s">
        <v>113</v>
      </c>
      <c r="B8" s="3" t="s">
        <v>114</v>
      </c>
      <c r="C8" s="3" t="s">
        <v>115</v>
      </c>
      <c r="D8" s="3">
        <v>8</v>
      </c>
      <c r="E8" s="3" t="s">
        <v>116</v>
      </c>
      <c r="F8" s="3" t="s">
        <v>117</v>
      </c>
      <c r="G8" s="3" t="s">
        <v>104</v>
      </c>
    </row>
    <row r="9" spans="1:7" ht="22" customHeight="1" x14ac:dyDescent="0.35">
      <c r="A9" s="3" t="s">
        <v>118</v>
      </c>
      <c r="B9" s="3" t="s">
        <v>119</v>
      </c>
      <c r="C9" s="3" t="s">
        <v>120</v>
      </c>
      <c r="D9" s="3">
        <v>8</v>
      </c>
      <c r="E9" s="3" t="s">
        <v>116</v>
      </c>
      <c r="F9" s="3" t="s">
        <v>121</v>
      </c>
      <c r="G9" s="3" t="s">
        <v>104</v>
      </c>
    </row>
    <row r="10" spans="1:7" ht="22" customHeight="1" x14ac:dyDescent="0.35">
      <c r="A10" s="4" t="s">
        <v>122</v>
      </c>
      <c r="B10" s="4" t="s">
        <v>123</v>
      </c>
      <c r="C10" s="4" t="s">
        <v>124</v>
      </c>
      <c r="D10" s="4">
        <v>8</v>
      </c>
      <c r="E10" s="4" t="s">
        <v>116</v>
      </c>
      <c r="F10" s="4" t="s">
        <v>117</v>
      </c>
      <c r="G10" s="4" t="s">
        <v>104</v>
      </c>
    </row>
  </sheetData>
  <mergeCells count="2">
    <mergeCell ref="A1:G1"/>
    <mergeCell ref="A2:G2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showGridLines="0" workbookViewId="0">
      <selection sqref="A1:H1"/>
    </sheetView>
  </sheetViews>
  <sheetFormatPr defaultRowHeight="14.5" x14ac:dyDescent="0.35"/>
  <cols>
    <col min="1" max="1" width="11" customWidth="1"/>
    <col min="2" max="2" width="18" customWidth="1"/>
    <col min="3" max="6" width="11" customWidth="1"/>
    <col min="7" max="7" width="15" customWidth="1"/>
    <col min="8" max="8" width="11" customWidth="1"/>
  </cols>
  <sheetData>
    <row r="1" spans="1:8" ht="34" customHeight="1" x14ac:dyDescent="0.35">
      <c r="A1" s="24" t="s">
        <v>125</v>
      </c>
      <c r="B1" s="24" t="s">
        <v>125</v>
      </c>
      <c r="C1" s="24" t="s">
        <v>125</v>
      </c>
      <c r="D1" s="24" t="s">
        <v>125</v>
      </c>
      <c r="E1" s="24" t="s">
        <v>125</v>
      </c>
      <c r="F1" s="24" t="s">
        <v>125</v>
      </c>
      <c r="G1" s="24" t="s">
        <v>125</v>
      </c>
      <c r="H1" s="24" t="s">
        <v>125</v>
      </c>
    </row>
    <row r="2" spans="1:8" ht="30" customHeight="1" x14ac:dyDescent="0.35">
      <c r="A2" s="25" t="s">
        <v>126</v>
      </c>
      <c r="B2" s="25" t="s">
        <v>126</v>
      </c>
      <c r="C2" s="25" t="s">
        <v>126</v>
      </c>
      <c r="D2" s="25" t="s">
        <v>126</v>
      </c>
      <c r="E2" s="25" t="s">
        <v>126</v>
      </c>
      <c r="F2" s="25" t="s">
        <v>126</v>
      </c>
      <c r="G2" s="25" t="s">
        <v>126</v>
      </c>
      <c r="H2" s="25" t="s">
        <v>126</v>
      </c>
    </row>
    <row r="3" spans="1:8" x14ac:dyDescent="0.35">
      <c r="A3" s="20"/>
      <c r="B3" s="20"/>
      <c r="C3" s="20"/>
      <c r="D3" s="20"/>
      <c r="E3" s="20"/>
      <c r="F3" s="20"/>
      <c r="G3" s="20"/>
      <c r="H3" s="20"/>
    </row>
    <row r="4" spans="1:8" ht="28" customHeight="1" x14ac:dyDescent="0.35">
      <c r="A4" s="1" t="s">
        <v>127</v>
      </c>
      <c r="B4" s="1" t="s">
        <v>128</v>
      </c>
      <c r="C4" s="1" t="s">
        <v>129</v>
      </c>
      <c r="D4" s="1" t="s">
        <v>94</v>
      </c>
      <c r="E4" s="1" t="s">
        <v>130</v>
      </c>
      <c r="F4" s="1" t="s">
        <v>131</v>
      </c>
      <c r="G4" s="1" t="s">
        <v>132</v>
      </c>
      <c r="H4" s="1" t="s">
        <v>92</v>
      </c>
    </row>
    <row r="5" spans="1:8" ht="22" customHeight="1" x14ac:dyDescent="0.35">
      <c r="A5" s="5" t="s">
        <v>133</v>
      </c>
      <c r="B5" s="5" t="s">
        <v>134</v>
      </c>
      <c r="C5" s="5" t="s">
        <v>135</v>
      </c>
      <c r="D5" s="5" t="s">
        <v>101</v>
      </c>
      <c r="E5" s="8">
        <v>18</v>
      </c>
      <c r="F5" s="5" t="s">
        <v>136</v>
      </c>
      <c r="G5" s="5" t="s">
        <v>137</v>
      </c>
      <c r="H5" s="5" t="s">
        <v>99</v>
      </c>
    </row>
    <row r="6" spans="1:8" ht="22" customHeight="1" x14ac:dyDescent="0.35">
      <c r="A6" s="6" t="s">
        <v>138</v>
      </c>
      <c r="B6" s="6" t="s">
        <v>139</v>
      </c>
      <c r="C6" s="6" t="s">
        <v>135</v>
      </c>
      <c r="D6" s="6" t="s">
        <v>107</v>
      </c>
      <c r="E6" s="9">
        <v>22</v>
      </c>
      <c r="F6" s="6" t="s">
        <v>136</v>
      </c>
      <c r="G6" s="6" t="s">
        <v>137</v>
      </c>
      <c r="H6" s="6" t="s">
        <v>105</v>
      </c>
    </row>
    <row r="7" spans="1:8" ht="22" customHeight="1" x14ac:dyDescent="0.35">
      <c r="A7" s="6" t="s">
        <v>140</v>
      </c>
      <c r="B7" s="6" t="s">
        <v>141</v>
      </c>
      <c r="C7" s="6" t="s">
        <v>142</v>
      </c>
      <c r="D7" s="6" t="s">
        <v>111</v>
      </c>
      <c r="E7" s="9">
        <v>28</v>
      </c>
      <c r="F7" s="6" t="s">
        <v>136</v>
      </c>
      <c r="G7" s="6" t="s">
        <v>137</v>
      </c>
      <c r="H7" s="6" t="s">
        <v>109</v>
      </c>
    </row>
    <row r="8" spans="1:8" ht="22" customHeight="1" x14ac:dyDescent="0.35">
      <c r="A8" s="6" t="s">
        <v>143</v>
      </c>
      <c r="B8" s="6" t="s">
        <v>144</v>
      </c>
      <c r="C8" s="6" t="s">
        <v>145</v>
      </c>
      <c r="D8" s="6" t="s">
        <v>115</v>
      </c>
      <c r="E8" s="9">
        <v>32</v>
      </c>
      <c r="F8" s="6" t="s">
        <v>146</v>
      </c>
      <c r="G8" s="6" t="s">
        <v>137</v>
      </c>
      <c r="H8" s="6" t="s">
        <v>113</v>
      </c>
    </row>
    <row r="9" spans="1:8" ht="22" customHeight="1" x14ac:dyDescent="0.35">
      <c r="A9" s="6" t="s">
        <v>147</v>
      </c>
      <c r="B9" s="6" t="s">
        <v>148</v>
      </c>
      <c r="C9" s="6" t="s">
        <v>145</v>
      </c>
      <c r="D9" s="6" t="s">
        <v>120</v>
      </c>
      <c r="E9" s="9">
        <v>40</v>
      </c>
      <c r="F9" s="6" t="s">
        <v>146</v>
      </c>
      <c r="G9" s="6" t="s">
        <v>137</v>
      </c>
      <c r="H9" s="6" t="s">
        <v>118</v>
      </c>
    </row>
    <row r="10" spans="1:8" ht="22" customHeight="1" x14ac:dyDescent="0.35">
      <c r="A10" s="6" t="s">
        <v>149</v>
      </c>
      <c r="B10" s="6" t="s">
        <v>150</v>
      </c>
      <c r="C10" s="6" t="s">
        <v>151</v>
      </c>
      <c r="D10" s="6" t="s">
        <v>124</v>
      </c>
      <c r="E10" s="9">
        <v>48</v>
      </c>
      <c r="F10" s="6" t="s">
        <v>152</v>
      </c>
      <c r="G10" s="6" t="s">
        <v>153</v>
      </c>
      <c r="H10" s="6" t="s">
        <v>122</v>
      </c>
    </row>
    <row r="11" spans="1:8" ht="22" customHeight="1" x14ac:dyDescent="0.35">
      <c r="A11" s="6" t="s">
        <v>154</v>
      </c>
      <c r="B11" s="6" t="s">
        <v>155</v>
      </c>
      <c r="C11" s="6" t="s">
        <v>135</v>
      </c>
      <c r="D11" s="6" t="s">
        <v>101</v>
      </c>
      <c r="E11" s="9">
        <v>20</v>
      </c>
      <c r="F11" s="6" t="s">
        <v>136</v>
      </c>
      <c r="G11" s="6" t="s">
        <v>137</v>
      </c>
      <c r="H11" s="6" t="s">
        <v>99</v>
      </c>
    </row>
    <row r="12" spans="1:8" ht="22" customHeight="1" x14ac:dyDescent="0.35">
      <c r="A12" s="6" t="s">
        <v>156</v>
      </c>
      <c r="B12" s="6" t="s">
        <v>157</v>
      </c>
      <c r="C12" s="6" t="s">
        <v>135</v>
      </c>
      <c r="D12" s="6" t="s">
        <v>107</v>
      </c>
      <c r="E12" s="9">
        <v>26</v>
      </c>
      <c r="F12" s="6" t="s">
        <v>136</v>
      </c>
      <c r="G12" s="6" t="s">
        <v>137</v>
      </c>
      <c r="H12" s="6" t="s">
        <v>105</v>
      </c>
    </row>
    <row r="13" spans="1:8" ht="22" customHeight="1" x14ac:dyDescent="0.35">
      <c r="A13" s="6" t="s">
        <v>158</v>
      </c>
      <c r="B13" s="6" t="s">
        <v>159</v>
      </c>
      <c r="C13" s="6" t="s">
        <v>142</v>
      </c>
      <c r="D13" s="6" t="s">
        <v>111</v>
      </c>
      <c r="E13" s="9">
        <v>36</v>
      </c>
      <c r="F13" s="6" t="s">
        <v>152</v>
      </c>
      <c r="G13" s="6" t="s">
        <v>137</v>
      </c>
      <c r="H13" s="6" t="s">
        <v>109</v>
      </c>
    </row>
    <row r="14" spans="1:8" ht="22" customHeight="1" x14ac:dyDescent="0.35">
      <c r="A14" s="6" t="s">
        <v>160</v>
      </c>
      <c r="B14" s="6" t="s">
        <v>161</v>
      </c>
      <c r="C14" s="6" t="s">
        <v>145</v>
      </c>
      <c r="D14" s="6" t="s">
        <v>115</v>
      </c>
      <c r="E14" s="9">
        <v>16</v>
      </c>
      <c r="F14" s="6" t="s">
        <v>146</v>
      </c>
      <c r="G14" s="6" t="s">
        <v>137</v>
      </c>
      <c r="H14" s="6" t="s">
        <v>113</v>
      </c>
    </row>
    <row r="15" spans="1:8" ht="22" customHeight="1" x14ac:dyDescent="0.35">
      <c r="A15" s="6" t="s">
        <v>162</v>
      </c>
      <c r="B15" s="6" t="s">
        <v>163</v>
      </c>
      <c r="C15" s="6" t="s">
        <v>145</v>
      </c>
      <c r="D15" s="6" t="s">
        <v>120</v>
      </c>
      <c r="E15" s="9">
        <v>24</v>
      </c>
      <c r="F15" s="6" t="s">
        <v>136</v>
      </c>
      <c r="G15" s="6" t="s">
        <v>137</v>
      </c>
      <c r="H15" s="6" t="s">
        <v>118</v>
      </c>
    </row>
    <row r="16" spans="1:8" ht="22" customHeight="1" x14ac:dyDescent="0.35">
      <c r="A16" s="7" t="s">
        <v>164</v>
      </c>
      <c r="B16" s="7" t="s">
        <v>165</v>
      </c>
      <c r="C16" s="7" t="s">
        <v>151</v>
      </c>
      <c r="D16" s="7" t="s">
        <v>124</v>
      </c>
      <c r="E16" s="10">
        <v>30</v>
      </c>
      <c r="F16" s="7" t="s">
        <v>152</v>
      </c>
      <c r="G16" s="7" t="s">
        <v>153</v>
      </c>
      <c r="H16" s="7" t="s">
        <v>122</v>
      </c>
    </row>
  </sheetData>
  <mergeCells count="2">
    <mergeCell ref="A1:H1"/>
    <mergeCell ref="A2:H2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showGridLines="0" workbookViewId="0">
      <selection sqref="A1:F1"/>
    </sheetView>
  </sheetViews>
  <sheetFormatPr defaultRowHeight="14.5" x14ac:dyDescent="0.35"/>
  <cols>
    <col min="1" max="1" width="11" customWidth="1"/>
    <col min="2" max="2" width="18" customWidth="1"/>
    <col min="3" max="3" width="10" customWidth="1"/>
    <col min="4" max="4" width="18" customWidth="1"/>
    <col min="5" max="5" width="54" customWidth="1"/>
    <col min="6" max="6" width="14" customWidth="1"/>
  </cols>
  <sheetData>
    <row r="1" spans="1:6" ht="34" customHeight="1" x14ac:dyDescent="0.35">
      <c r="A1" s="24" t="s">
        <v>166</v>
      </c>
      <c r="B1" s="24" t="s">
        <v>166</v>
      </c>
      <c r="C1" s="24" t="s">
        <v>166</v>
      </c>
      <c r="D1" s="24" t="s">
        <v>166</v>
      </c>
      <c r="E1" s="24" t="s">
        <v>166</v>
      </c>
      <c r="F1" s="24" t="s">
        <v>166</v>
      </c>
    </row>
    <row r="2" spans="1:6" ht="30" customHeight="1" x14ac:dyDescent="0.35">
      <c r="A2" s="25" t="s">
        <v>167</v>
      </c>
      <c r="B2" s="25" t="s">
        <v>167</v>
      </c>
      <c r="C2" s="25" t="s">
        <v>167</v>
      </c>
      <c r="D2" s="25" t="s">
        <v>167</v>
      </c>
      <c r="E2" s="25" t="s">
        <v>167</v>
      </c>
      <c r="F2" s="25" t="s">
        <v>167</v>
      </c>
    </row>
    <row r="3" spans="1:6" x14ac:dyDescent="0.35">
      <c r="A3" s="20"/>
      <c r="B3" s="20"/>
      <c r="C3" s="20"/>
      <c r="D3" s="20"/>
      <c r="E3" s="20"/>
      <c r="F3" s="20"/>
    </row>
    <row r="4" spans="1:6" ht="28" customHeight="1" x14ac:dyDescent="0.35">
      <c r="A4" s="1" t="s">
        <v>168</v>
      </c>
      <c r="B4" s="1" t="s">
        <v>169</v>
      </c>
      <c r="C4" s="1" t="s">
        <v>170</v>
      </c>
      <c r="D4" s="1" t="s">
        <v>171</v>
      </c>
      <c r="E4" s="1" t="s">
        <v>172</v>
      </c>
      <c r="F4" s="1" t="s">
        <v>173</v>
      </c>
    </row>
    <row r="5" spans="1:6" ht="22" customHeight="1" x14ac:dyDescent="0.35">
      <c r="A5" s="2" t="s">
        <v>174</v>
      </c>
      <c r="B5" s="2" t="s">
        <v>175</v>
      </c>
      <c r="C5" s="2">
        <v>40</v>
      </c>
      <c r="D5" s="2" t="s">
        <v>137</v>
      </c>
      <c r="E5" s="2" t="s">
        <v>176</v>
      </c>
      <c r="F5" s="2" t="s">
        <v>177</v>
      </c>
    </row>
    <row r="6" spans="1:6" ht="22" customHeight="1" x14ac:dyDescent="0.35">
      <c r="A6" s="3" t="s">
        <v>178</v>
      </c>
      <c r="B6" s="3" t="s">
        <v>179</v>
      </c>
      <c r="C6" s="3">
        <v>40</v>
      </c>
      <c r="D6" s="3" t="s">
        <v>137</v>
      </c>
      <c r="E6" s="3" t="s">
        <v>176</v>
      </c>
      <c r="F6" s="3" t="s">
        <v>177</v>
      </c>
    </row>
    <row r="7" spans="1:6" ht="22" customHeight="1" x14ac:dyDescent="0.35">
      <c r="A7" s="3" t="s">
        <v>180</v>
      </c>
      <c r="B7" s="3" t="s">
        <v>181</v>
      </c>
      <c r="C7" s="3">
        <v>50</v>
      </c>
      <c r="D7" s="3" t="s">
        <v>182</v>
      </c>
      <c r="E7" s="3" t="s">
        <v>176</v>
      </c>
      <c r="F7" s="3" t="s">
        <v>177</v>
      </c>
    </row>
    <row r="8" spans="1:6" ht="22" customHeight="1" x14ac:dyDescent="0.35">
      <c r="A8" s="3" t="s">
        <v>183</v>
      </c>
      <c r="B8" s="3" t="s">
        <v>184</v>
      </c>
      <c r="C8" s="3">
        <v>70</v>
      </c>
      <c r="D8" s="3" t="s">
        <v>137</v>
      </c>
      <c r="E8" s="3" t="s">
        <v>176</v>
      </c>
      <c r="F8" s="3" t="s">
        <v>177</v>
      </c>
    </row>
    <row r="9" spans="1:6" ht="22" customHeight="1" x14ac:dyDescent="0.35">
      <c r="A9" s="3" t="s">
        <v>185</v>
      </c>
      <c r="B9" s="3" t="s">
        <v>186</v>
      </c>
      <c r="C9" s="3">
        <v>70</v>
      </c>
      <c r="D9" s="3" t="s">
        <v>137</v>
      </c>
      <c r="E9" s="3" t="s">
        <v>176</v>
      </c>
      <c r="F9" s="3" t="s">
        <v>177</v>
      </c>
    </row>
    <row r="10" spans="1:6" ht="22" customHeight="1" x14ac:dyDescent="0.35">
      <c r="A10" s="4" t="s">
        <v>187</v>
      </c>
      <c r="B10" s="4" t="s">
        <v>188</v>
      </c>
      <c r="C10" s="4">
        <v>70</v>
      </c>
      <c r="D10" s="4" t="s">
        <v>182</v>
      </c>
      <c r="E10" s="4" t="s">
        <v>176</v>
      </c>
      <c r="F10" s="4" t="s">
        <v>177</v>
      </c>
    </row>
  </sheetData>
  <mergeCells count="2">
    <mergeCell ref="A1:F1"/>
    <mergeCell ref="A2:F2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showGridLines="0" workbookViewId="0">
      <selection sqref="A1:F1"/>
    </sheetView>
  </sheetViews>
  <sheetFormatPr defaultRowHeight="14.5" x14ac:dyDescent="0.35"/>
  <cols>
    <col min="1" max="6" width="14" customWidth="1"/>
  </cols>
  <sheetData>
    <row r="1" spans="1:6" ht="34" customHeight="1" x14ac:dyDescent="0.35">
      <c r="A1" s="24" t="s">
        <v>189</v>
      </c>
      <c r="B1" s="24" t="s">
        <v>189</v>
      </c>
      <c r="C1" s="24" t="s">
        <v>189</v>
      </c>
      <c r="D1" s="24" t="s">
        <v>189</v>
      </c>
      <c r="E1" s="24" t="s">
        <v>189</v>
      </c>
      <c r="F1" s="24" t="s">
        <v>189</v>
      </c>
    </row>
    <row r="2" spans="1:6" ht="30" customHeight="1" x14ac:dyDescent="0.35">
      <c r="A2" s="25" t="s">
        <v>190</v>
      </c>
      <c r="B2" s="25" t="s">
        <v>190</v>
      </c>
      <c r="C2" s="25" t="s">
        <v>190</v>
      </c>
      <c r="D2" s="25" t="s">
        <v>190</v>
      </c>
      <c r="E2" s="25" t="s">
        <v>190</v>
      </c>
      <c r="F2" s="25" t="s">
        <v>190</v>
      </c>
    </row>
    <row r="3" spans="1:6" x14ac:dyDescent="0.35">
      <c r="A3" s="20"/>
      <c r="B3" s="20"/>
      <c r="C3" s="20"/>
      <c r="D3" s="20"/>
      <c r="E3" s="20"/>
      <c r="F3" s="20"/>
    </row>
    <row r="4" spans="1:6" ht="28" customHeight="1" x14ac:dyDescent="0.35">
      <c r="A4" s="1" t="s">
        <v>191</v>
      </c>
      <c r="B4" s="1" t="s">
        <v>192</v>
      </c>
      <c r="C4" s="1" t="s">
        <v>193</v>
      </c>
      <c r="D4" s="1" t="s">
        <v>194</v>
      </c>
      <c r="E4" s="1" t="s">
        <v>195</v>
      </c>
      <c r="F4" s="1" t="s">
        <v>196</v>
      </c>
    </row>
    <row r="5" spans="1:6" ht="22" customHeight="1" x14ac:dyDescent="0.35">
      <c r="A5" s="5" t="s">
        <v>197</v>
      </c>
      <c r="B5" s="5" t="s">
        <v>198</v>
      </c>
      <c r="C5" s="5" t="s">
        <v>199</v>
      </c>
      <c r="D5" s="5" t="s">
        <v>200</v>
      </c>
      <c r="E5" s="5" t="s">
        <v>201</v>
      </c>
      <c r="F5" s="5" t="s">
        <v>202</v>
      </c>
    </row>
    <row r="6" spans="1:6" ht="22" customHeight="1" x14ac:dyDescent="0.35">
      <c r="A6" s="6" t="s">
        <v>203</v>
      </c>
      <c r="B6" s="6" t="s">
        <v>198</v>
      </c>
      <c r="C6" s="6" t="s">
        <v>204</v>
      </c>
      <c r="D6" s="6" t="s">
        <v>205</v>
      </c>
      <c r="E6" s="6" t="s">
        <v>206</v>
      </c>
      <c r="F6" s="6" t="s">
        <v>202</v>
      </c>
    </row>
    <row r="7" spans="1:6" ht="22" customHeight="1" x14ac:dyDescent="0.35">
      <c r="A7" s="6" t="s">
        <v>207</v>
      </c>
      <c r="B7" s="6" t="s">
        <v>208</v>
      </c>
      <c r="C7" s="6" t="s">
        <v>199</v>
      </c>
      <c r="D7" s="6" t="s">
        <v>200</v>
      </c>
      <c r="E7" s="6" t="s">
        <v>201</v>
      </c>
      <c r="F7" s="6" t="s">
        <v>202</v>
      </c>
    </row>
    <row r="8" spans="1:6" ht="22" customHeight="1" x14ac:dyDescent="0.35">
      <c r="A8" s="6" t="s">
        <v>209</v>
      </c>
      <c r="B8" s="6" t="s">
        <v>208</v>
      </c>
      <c r="C8" s="6" t="s">
        <v>204</v>
      </c>
      <c r="D8" s="6" t="s">
        <v>205</v>
      </c>
      <c r="E8" s="6" t="s">
        <v>206</v>
      </c>
      <c r="F8" s="6" t="s">
        <v>202</v>
      </c>
    </row>
    <row r="9" spans="1:6" ht="22" customHeight="1" x14ac:dyDescent="0.35">
      <c r="A9" s="6" t="s">
        <v>210</v>
      </c>
      <c r="B9" s="6" t="s">
        <v>211</v>
      </c>
      <c r="C9" s="6" t="s">
        <v>199</v>
      </c>
      <c r="D9" s="6" t="s">
        <v>200</v>
      </c>
      <c r="E9" s="6" t="s">
        <v>201</v>
      </c>
      <c r="F9" s="6" t="s">
        <v>202</v>
      </c>
    </row>
    <row r="10" spans="1:6" ht="22" customHeight="1" x14ac:dyDescent="0.35">
      <c r="A10" s="6" t="s">
        <v>212</v>
      </c>
      <c r="B10" s="6" t="s">
        <v>211</v>
      </c>
      <c r="C10" s="6" t="s">
        <v>204</v>
      </c>
      <c r="D10" s="6" t="s">
        <v>205</v>
      </c>
      <c r="E10" s="6" t="s">
        <v>206</v>
      </c>
      <c r="F10" s="6" t="s">
        <v>202</v>
      </c>
    </row>
    <row r="11" spans="1:6" ht="22" customHeight="1" x14ac:dyDescent="0.35">
      <c r="A11" s="6" t="s">
        <v>213</v>
      </c>
      <c r="B11" s="6" t="s">
        <v>214</v>
      </c>
      <c r="C11" s="6" t="s">
        <v>199</v>
      </c>
      <c r="D11" s="6" t="s">
        <v>200</v>
      </c>
      <c r="E11" s="6" t="s">
        <v>201</v>
      </c>
      <c r="F11" s="6" t="s">
        <v>202</v>
      </c>
    </row>
    <row r="12" spans="1:6" ht="22" customHeight="1" x14ac:dyDescent="0.35">
      <c r="A12" s="6" t="s">
        <v>215</v>
      </c>
      <c r="B12" s="6" t="s">
        <v>214</v>
      </c>
      <c r="C12" s="6" t="s">
        <v>204</v>
      </c>
      <c r="D12" s="6" t="s">
        <v>205</v>
      </c>
      <c r="E12" s="6" t="s">
        <v>206</v>
      </c>
      <c r="F12" s="6" t="s">
        <v>202</v>
      </c>
    </row>
    <row r="13" spans="1:6" ht="22" customHeight="1" x14ac:dyDescent="0.35">
      <c r="A13" s="6" t="s">
        <v>216</v>
      </c>
      <c r="B13" s="6" t="s">
        <v>217</v>
      </c>
      <c r="C13" s="6" t="s">
        <v>199</v>
      </c>
      <c r="D13" s="6" t="s">
        <v>200</v>
      </c>
      <c r="E13" s="6" t="s">
        <v>201</v>
      </c>
      <c r="F13" s="6" t="s">
        <v>202</v>
      </c>
    </row>
    <row r="14" spans="1:6" ht="22" customHeight="1" x14ac:dyDescent="0.35">
      <c r="A14" s="7" t="s">
        <v>218</v>
      </c>
      <c r="B14" s="7" t="s">
        <v>217</v>
      </c>
      <c r="C14" s="7" t="s">
        <v>204</v>
      </c>
      <c r="D14" s="7" t="s">
        <v>205</v>
      </c>
      <c r="E14" s="7" t="s">
        <v>206</v>
      </c>
      <c r="F14" s="7" t="s">
        <v>202</v>
      </c>
    </row>
  </sheetData>
  <mergeCells count="2">
    <mergeCell ref="A1:F1"/>
    <mergeCell ref="A2:F2"/>
  </mergeCells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8"/>
  <sheetViews>
    <sheetView showGridLines="0" workbookViewId="0">
      <selection sqref="A1:H1"/>
    </sheetView>
  </sheetViews>
  <sheetFormatPr defaultRowHeight="14.5" x14ac:dyDescent="0.35"/>
  <cols>
    <col min="1" max="3" width="12" customWidth="1"/>
    <col min="4" max="5" width="10" customWidth="1"/>
    <col min="6" max="8" width="14" customWidth="1"/>
  </cols>
  <sheetData>
    <row r="1" spans="1:8" ht="34" customHeight="1" x14ac:dyDescent="0.35">
      <c r="A1" s="24" t="s">
        <v>219</v>
      </c>
      <c r="B1" s="24" t="s">
        <v>219</v>
      </c>
      <c r="C1" s="24" t="s">
        <v>219</v>
      </c>
      <c r="D1" s="24" t="s">
        <v>219</v>
      </c>
      <c r="E1" s="24" t="s">
        <v>219</v>
      </c>
      <c r="F1" s="24" t="s">
        <v>219</v>
      </c>
      <c r="G1" s="24" t="s">
        <v>219</v>
      </c>
      <c r="H1" s="24" t="s">
        <v>219</v>
      </c>
    </row>
    <row r="2" spans="1:8" ht="30" customHeight="1" x14ac:dyDescent="0.35">
      <c r="A2" s="25" t="s">
        <v>220</v>
      </c>
      <c r="B2" s="25" t="s">
        <v>220</v>
      </c>
      <c r="C2" s="25" t="s">
        <v>220</v>
      </c>
      <c r="D2" s="25" t="s">
        <v>220</v>
      </c>
      <c r="E2" s="25" t="s">
        <v>220</v>
      </c>
      <c r="F2" s="25" t="s">
        <v>220</v>
      </c>
      <c r="G2" s="25" t="s">
        <v>220</v>
      </c>
      <c r="H2" s="25" t="s">
        <v>220</v>
      </c>
    </row>
    <row r="3" spans="1:8" x14ac:dyDescent="0.35">
      <c r="A3" s="20"/>
      <c r="B3" s="20"/>
      <c r="C3" s="20"/>
      <c r="D3" s="20"/>
      <c r="E3" s="20"/>
      <c r="F3" s="20"/>
      <c r="G3" s="20"/>
      <c r="H3" s="20"/>
    </row>
    <row r="4" spans="1:8" ht="28" customHeight="1" x14ac:dyDescent="0.35">
      <c r="A4" s="1" t="s">
        <v>221</v>
      </c>
      <c r="B4" s="1" t="s">
        <v>127</v>
      </c>
      <c r="C4" s="1" t="s">
        <v>92</v>
      </c>
      <c r="D4" s="1" t="s">
        <v>94</v>
      </c>
      <c r="E4" s="1" t="s">
        <v>130</v>
      </c>
      <c r="F4" s="1" t="s">
        <v>132</v>
      </c>
      <c r="G4" s="1" t="s">
        <v>222</v>
      </c>
      <c r="H4" s="1" t="s">
        <v>223</v>
      </c>
    </row>
    <row r="5" spans="1:8" ht="22" customHeight="1" x14ac:dyDescent="0.35">
      <c r="A5" s="5" t="s">
        <v>224</v>
      </c>
      <c r="B5" s="5" t="s">
        <v>133</v>
      </c>
      <c r="C5" s="5" t="s">
        <v>99</v>
      </c>
      <c r="D5" s="5" t="s">
        <v>101</v>
      </c>
      <c r="E5" s="5">
        <v>18</v>
      </c>
      <c r="F5" s="5" t="s">
        <v>137</v>
      </c>
      <c r="G5" s="5">
        <v>90</v>
      </c>
      <c r="H5" s="5" t="s">
        <v>197</v>
      </c>
    </row>
    <row r="6" spans="1:8" ht="22" customHeight="1" x14ac:dyDescent="0.35">
      <c r="A6" s="6" t="s">
        <v>225</v>
      </c>
      <c r="B6" s="6" t="s">
        <v>138</v>
      </c>
      <c r="C6" s="6" t="s">
        <v>105</v>
      </c>
      <c r="D6" s="6" t="s">
        <v>107</v>
      </c>
      <c r="E6" s="6">
        <v>22</v>
      </c>
      <c r="F6" s="6" t="s">
        <v>137</v>
      </c>
      <c r="G6" s="6">
        <v>90</v>
      </c>
      <c r="H6" s="6" t="s">
        <v>197</v>
      </c>
    </row>
    <row r="7" spans="1:8" ht="22" customHeight="1" x14ac:dyDescent="0.35">
      <c r="A7" s="6" t="s">
        <v>226</v>
      </c>
      <c r="B7" s="6" t="s">
        <v>140</v>
      </c>
      <c r="C7" s="6" t="s">
        <v>109</v>
      </c>
      <c r="D7" s="6" t="s">
        <v>111</v>
      </c>
      <c r="E7" s="6">
        <v>28</v>
      </c>
      <c r="F7" s="6" t="s">
        <v>137</v>
      </c>
      <c r="G7" s="6">
        <v>90</v>
      </c>
      <c r="H7" s="6" t="s">
        <v>197</v>
      </c>
    </row>
    <row r="8" spans="1:8" ht="22" customHeight="1" x14ac:dyDescent="0.35">
      <c r="A8" s="6" t="s">
        <v>227</v>
      </c>
      <c r="B8" s="6" t="s">
        <v>143</v>
      </c>
      <c r="C8" s="6" t="s">
        <v>113</v>
      </c>
      <c r="D8" s="6" t="s">
        <v>115</v>
      </c>
      <c r="E8" s="6">
        <v>32</v>
      </c>
      <c r="F8" s="6" t="s">
        <v>137</v>
      </c>
      <c r="G8" s="6">
        <v>90</v>
      </c>
      <c r="H8" s="6" t="s">
        <v>203</v>
      </c>
    </row>
    <row r="9" spans="1:8" ht="22" customHeight="1" x14ac:dyDescent="0.35">
      <c r="A9" s="6" t="s">
        <v>228</v>
      </c>
      <c r="B9" s="6" t="s">
        <v>147</v>
      </c>
      <c r="C9" s="6" t="s">
        <v>118</v>
      </c>
      <c r="D9" s="6" t="s">
        <v>120</v>
      </c>
      <c r="E9" s="6">
        <v>40</v>
      </c>
      <c r="F9" s="6" t="s">
        <v>137</v>
      </c>
      <c r="G9" s="6">
        <v>90</v>
      </c>
      <c r="H9" s="6" t="s">
        <v>203</v>
      </c>
    </row>
    <row r="10" spans="1:8" ht="22" customHeight="1" x14ac:dyDescent="0.35">
      <c r="A10" s="6" t="s">
        <v>229</v>
      </c>
      <c r="B10" s="6" t="s">
        <v>149</v>
      </c>
      <c r="C10" s="6" t="s">
        <v>122</v>
      </c>
      <c r="D10" s="6" t="s">
        <v>124</v>
      </c>
      <c r="E10" s="6">
        <v>48</v>
      </c>
      <c r="F10" s="6" t="s">
        <v>153</v>
      </c>
      <c r="G10" s="6">
        <v>90</v>
      </c>
      <c r="H10" s="6" t="s">
        <v>203</v>
      </c>
    </row>
    <row r="11" spans="1:8" ht="22" customHeight="1" x14ac:dyDescent="0.35">
      <c r="A11" s="6" t="s">
        <v>230</v>
      </c>
      <c r="B11" s="6" t="s">
        <v>154</v>
      </c>
      <c r="C11" s="6" t="s">
        <v>99</v>
      </c>
      <c r="D11" s="6" t="s">
        <v>101</v>
      </c>
      <c r="E11" s="6">
        <v>20</v>
      </c>
      <c r="F11" s="6" t="s">
        <v>137</v>
      </c>
      <c r="G11" s="6">
        <v>90</v>
      </c>
      <c r="H11" s="6" t="s">
        <v>207</v>
      </c>
    </row>
    <row r="12" spans="1:8" ht="22" customHeight="1" x14ac:dyDescent="0.35">
      <c r="A12" s="6" t="s">
        <v>231</v>
      </c>
      <c r="B12" s="6" t="s">
        <v>156</v>
      </c>
      <c r="C12" s="6" t="s">
        <v>105</v>
      </c>
      <c r="D12" s="6" t="s">
        <v>107</v>
      </c>
      <c r="E12" s="6">
        <v>26</v>
      </c>
      <c r="F12" s="6" t="s">
        <v>137</v>
      </c>
      <c r="G12" s="6">
        <v>90</v>
      </c>
      <c r="H12" s="6" t="s">
        <v>207</v>
      </c>
    </row>
    <row r="13" spans="1:8" ht="22" customHeight="1" x14ac:dyDescent="0.35">
      <c r="A13" s="6" t="s">
        <v>232</v>
      </c>
      <c r="B13" s="6" t="s">
        <v>158</v>
      </c>
      <c r="C13" s="6" t="s">
        <v>109</v>
      </c>
      <c r="D13" s="6" t="s">
        <v>111</v>
      </c>
      <c r="E13" s="6">
        <v>36</v>
      </c>
      <c r="F13" s="6" t="s">
        <v>137</v>
      </c>
      <c r="G13" s="6">
        <v>90</v>
      </c>
      <c r="H13" s="6" t="s">
        <v>207</v>
      </c>
    </row>
    <row r="14" spans="1:8" ht="22" customHeight="1" x14ac:dyDescent="0.35">
      <c r="A14" s="6" t="s">
        <v>233</v>
      </c>
      <c r="B14" s="6" t="s">
        <v>160</v>
      </c>
      <c r="C14" s="6" t="s">
        <v>113</v>
      </c>
      <c r="D14" s="6" t="s">
        <v>115</v>
      </c>
      <c r="E14" s="6">
        <v>16</v>
      </c>
      <c r="F14" s="6" t="s">
        <v>137</v>
      </c>
      <c r="G14" s="6">
        <v>90</v>
      </c>
      <c r="H14" s="6" t="s">
        <v>209</v>
      </c>
    </row>
    <row r="15" spans="1:8" ht="22" customHeight="1" x14ac:dyDescent="0.35">
      <c r="A15" s="6" t="s">
        <v>234</v>
      </c>
      <c r="B15" s="6" t="s">
        <v>162</v>
      </c>
      <c r="C15" s="6" t="s">
        <v>118</v>
      </c>
      <c r="D15" s="6" t="s">
        <v>120</v>
      </c>
      <c r="E15" s="6">
        <v>24</v>
      </c>
      <c r="F15" s="6" t="s">
        <v>137</v>
      </c>
      <c r="G15" s="6">
        <v>90</v>
      </c>
      <c r="H15" s="6" t="s">
        <v>209</v>
      </c>
    </row>
    <row r="16" spans="1:8" ht="22" customHeight="1" x14ac:dyDescent="0.35">
      <c r="A16" s="6" t="s">
        <v>235</v>
      </c>
      <c r="B16" s="6" t="s">
        <v>164</v>
      </c>
      <c r="C16" s="6" t="s">
        <v>122</v>
      </c>
      <c r="D16" s="6" t="s">
        <v>124</v>
      </c>
      <c r="E16" s="6">
        <v>30</v>
      </c>
      <c r="F16" s="6" t="s">
        <v>153</v>
      </c>
      <c r="G16" s="6">
        <v>90</v>
      </c>
      <c r="H16" s="6" t="s">
        <v>209</v>
      </c>
    </row>
    <row r="17" spans="1:8" ht="22" customHeight="1" x14ac:dyDescent="0.35">
      <c r="A17" s="6" t="s">
        <v>236</v>
      </c>
      <c r="B17" s="6" t="s">
        <v>133</v>
      </c>
      <c r="C17" s="6" t="s">
        <v>99</v>
      </c>
      <c r="D17" s="6" t="s">
        <v>101</v>
      </c>
      <c r="E17" s="6">
        <v>18</v>
      </c>
      <c r="F17" s="6" t="s">
        <v>137</v>
      </c>
      <c r="G17" s="6">
        <v>90</v>
      </c>
      <c r="H17" s="6" t="s">
        <v>210</v>
      </c>
    </row>
    <row r="18" spans="1:8" ht="22" customHeight="1" x14ac:dyDescent="0.35">
      <c r="A18" s="6" t="s">
        <v>237</v>
      </c>
      <c r="B18" s="6" t="s">
        <v>147</v>
      </c>
      <c r="C18" s="6" t="s">
        <v>118</v>
      </c>
      <c r="D18" s="6" t="s">
        <v>120</v>
      </c>
      <c r="E18" s="6">
        <v>40</v>
      </c>
      <c r="F18" s="6" t="s">
        <v>137</v>
      </c>
      <c r="G18" s="6">
        <v>90</v>
      </c>
      <c r="H18" s="6" t="s">
        <v>210</v>
      </c>
    </row>
    <row r="19" spans="1:8" ht="22" customHeight="1" x14ac:dyDescent="0.35">
      <c r="A19" s="6" t="s">
        <v>238</v>
      </c>
      <c r="B19" s="6" t="s">
        <v>158</v>
      </c>
      <c r="C19" s="6" t="s">
        <v>109</v>
      </c>
      <c r="D19" s="6" t="s">
        <v>111</v>
      </c>
      <c r="E19" s="6">
        <v>36</v>
      </c>
      <c r="F19" s="6" t="s">
        <v>137</v>
      </c>
      <c r="G19" s="6">
        <v>90</v>
      </c>
      <c r="H19" s="6" t="s">
        <v>210</v>
      </c>
    </row>
    <row r="20" spans="1:8" ht="22" customHeight="1" x14ac:dyDescent="0.35">
      <c r="A20" s="6" t="s">
        <v>239</v>
      </c>
      <c r="B20" s="6" t="s">
        <v>138</v>
      </c>
      <c r="C20" s="6" t="s">
        <v>105</v>
      </c>
      <c r="D20" s="6" t="s">
        <v>107</v>
      </c>
      <c r="E20" s="6">
        <v>22</v>
      </c>
      <c r="F20" s="6" t="s">
        <v>137</v>
      </c>
      <c r="G20" s="6">
        <v>90</v>
      </c>
      <c r="H20" s="6" t="s">
        <v>212</v>
      </c>
    </row>
    <row r="21" spans="1:8" ht="22" customHeight="1" x14ac:dyDescent="0.35">
      <c r="A21" s="6" t="s">
        <v>240</v>
      </c>
      <c r="B21" s="6" t="s">
        <v>160</v>
      </c>
      <c r="C21" s="6" t="s">
        <v>113</v>
      </c>
      <c r="D21" s="6" t="s">
        <v>115</v>
      </c>
      <c r="E21" s="6">
        <v>16</v>
      </c>
      <c r="F21" s="6" t="s">
        <v>137</v>
      </c>
      <c r="G21" s="6">
        <v>90</v>
      </c>
      <c r="H21" s="6" t="s">
        <v>212</v>
      </c>
    </row>
    <row r="22" spans="1:8" ht="22" customHeight="1" x14ac:dyDescent="0.35">
      <c r="A22" s="6" t="s">
        <v>241</v>
      </c>
      <c r="B22" s="6" t="s">
        <v>149</v>
      </c>
      <c r="C22" s="6" t="s">
        <v>122</v>
      </c>
      <c r="D22" s="6" t="s">
        <v>124</v>
      </c>
      <c r="E22" s="6">
        <v>48</v>
      </c>
      <c r="F22" s="6" t="s">
        <v>153</v>
      </c>
      <c r="G22" s="6">
        <v>90</v>
      </c>
      <c r="H22" s="6" t="s">
        <v>212</v>
      </c>
    </row>
    <row r="23" spans="1:8" ht="22" customHeight="1" x14ac:dyDescent="0.35">
      <c r="A23" s="6" t="s">
        <v>242</v>
      </c>
      <c r="B23" s="6" t="s">
        <v>140</v>
      </c>
      <c r="C23" s="6" t="s">
        <v>109</v>
      </c>
      <c r="D23" s="6" t="s">
        <v>111</v>
      </c>
      <c r="E23" s="6">
        <v>28</v>
      </c>
      <c r="F23" s="6" t="s">
        <v>137</v>
      </c>
      <c r="G23" s="6">
        <v>90</v>
      </c>
      <c r="H23" s="6" t="s">
        <v>213</v>
      </c>
    </row>
    <row r="24" spans="1:8" ht="22" customHeight="1" x14ac:dyDescent="0.35">
      <c r="A24" s="6" t="s">
        <v>243</v>
      </c>
      <c r="B24" s="6" t="s">
        <v>154</v>
      </c>
      <c r="C24" s="6" t="s">
        <v>99</v>
      </c>
      <c r="D24" s="6" t="s">
        <v>101</v>
      </c>
      <c r="E24" s="6">
        <v>20</v>
      </c>
      <c r="F24" s="6" t="s">
        <v>137</v>
      </c>
      <c r="G24" s="6">
        <v>90</v>
      </c>
      <c r="H24" s="6" t="s">
        <v>213</v>
      </c>
    </row>
    <row r="25" spans="1:8" ht="22" customHeight="1" x14ac:dyDescent="0.35">
      <c r="A25" s="6" t="s">
        <v>244</v>
      </c>
      <c r="B25" s="6" t="s">
        <v>162</v>
      </c>
      <c r="C25" s="6" t="s">
        <v>118</v>
      </c>
      <c r="D25" s="6" t="s">
        <v>120</v>
      </c>
      <c r="E25" s="6">
        <v>24</v>
      </c>
      <c r="F25" s="6" t="s">
        <v>137</v>
      </c>
      <c r="G25" s="6">
        <v>90</v>
      </c>
      <c r="H25" s="6" t="s">
        <v>213</v>
      </c>
    </row>
    <row r="26" spans="1:8" ht="22" customHeight="1" x14ac:dyDescent="0.35">
      <c r="A26" s="6" t="s">
        <v>245</v>
      </c>
      <c r="B26" s="6" t="s">
        <v>143</v>
      </c>
      <c r="C26" s="6" t="s">
        <v>113</v>
      </c>
      <c r="D26" s="6" t="s">
        <v>115</v>
      </c>
      <c r="E26" s="6">
        <v>32</v>
      </c>
      <c r="F26" s="6" t="s">
        <v>137</v>
      </c>
      <c r="G26" s="6">
        <v>90</v>
      </c>
      <c r="H26" s="6" t="s">
        <v>215</v>
      </c>
    </row>
    <row r="27" spans="1:8" ht="22" customHeight="1" x14ac:dyDescent="0.35">
      <c r="A27" s="6" t="s">
        <v>246</v>
      </c>
      <c r="B27" s="6" t="s">
        <v>156</v>
      </c>
      <c r="C27" s="6" t="s">
        <v>105</v>
      </c>
      <c r="D27" s="6" t="s">
        <v>107</v>
      </c>
      <c r="E27" s="6">
        <v>26</v>
      </c>
      <c r="F27" s="6" t="s">
        <v>137</v>
      </c>
      <c r="G27" s="6">
        <v>90</v>
      </c>
      <c r="H27" s="6" t="s">
        <v>215</v>
      </c>
    </row>
    <row r="28" spans="1:8" ht="22" customHeight="1" x14ac:dyDescent="0.35">
      <c r="A28" s="7" t="s">
        <v>247</v>
      </c>
      <c r="B28" s="7" t="s">
        <v>164</v>
      </c>
      <c r="C28" s="7" t="s">
        <v>122</v>
      </c>
      <c r="D28" s="7" t="s">
        <v>124</v>
      </c>
      <c r="E28" s="7">
        <v>30</v>
      </c>
      <c r="F28" s="7" t="s">
        <v>153</v>
      </c>
      <c r="G28" s="7">
        <v>90</v>
      </c>
      <c r="H28" s="7" t="s">
        <v>215</v>
      </c>
    </row>
  </sheetData>
  <mergeCells count="2">
    <mergeCell ref="A1:H1"/>
    <mergeCell ref="A2:H2"/>
  </mergeCells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"/>
  <sheetViews>
    <sheetView showGridLines="0" workbookViewId="0">
      <selection sqref="A1:I1"/>
    </sheetView>
  </sheetViews>
  <sheetFormatPr defaultRowHeight="14.5" x14ac:dyDescent="0.35"/>
  <cols>
    <col min="1" max="1" width="10" customWidth="1"/>
    <col min="2" max="2" width="34" customWidth="1"/>
    <col min="3" max="5" width="12" customWidth="1"/>
    <col min="6" max="6" width="34" customWidth="1"/>
    <col min="7" max="7" width="10" customWidth="1"/>
    <col min="8" max="8" width="14" customWidth="1"/>
    <col min="9" max="9" width="30" customWidth="1"/>
  </cols>
  <sheetData>
    <row r="1" spans="1:9" ht="34" customHeight="1" x14ac:dyDescent="0.35">
      <c r="A1" s="24" t="s">
        <v>248</v>
      </c>
      <c r="B1" s="24" t="s">
        <v>248</v>
      </c>
      <c r="C1" s="24" t="s">
        <v>248</v>
      </c>
      <c r="D1" s="24" t="s">
        <v>248</v>
      </c>
      <c r="E1" s="24" t="s">
        <v>248</v>
      </c>
      <c r="F1" s="24" t="s">
        <v>248</v>
      </c>
      <c r="G1" s="24" t="s">
        <v>248</v>
      </c>
      <c r="H1" s="24" t="s">
        <v>248</v>
      </c>
      <c r="I1" s="24" t="s">
        <v>248</v>
      </c>
    </row>
    <row r="2" spans="1:9" ht="30" customHeight="1" x14ac:dyDescent="0.35">
      <c r="A2" s="25" t="s">
        <v>249</v>
      </c>
      <c r="B2" s="25" t="s">
        <v>249</v>
      </c>
      <c r="C2" s="25" t="s">
        <v>249</v>
      </c>
      <c r="D2" s="25" t="s">
        <v>249</v>
      </c>
      <c r="E2" s="25" t="s">
        <v>249</v>
      </c>
      <c r="F2" s="25" t="s">
        <v>249</v>
      </c>
      <c r="G2" s="25" t="s">
        <v>249</v>
      </c>
      <c r="H2" s="25" t="s">
        <v>249</v>
      </c>
      <c r="I2" s="25" t="s">
        <v>249</v>
      </c>
    </row>
    <row r="3" spans="1:9" x14ac:dyDescent="0.35">
      <c r="A3" s="20"/>
      <c r="B3" s="20"/>
      <c r="C3" s="20"/>
      <c r="D3" s="20"/>
      <c r="E3" s="20"/>
      <c r="F3" s="20"/>
      <c r="G3" s="20"/>
      <c r="H3" s="20"/>
      <c r="I3" s="20"/>
    </row>
    <row r="4" spans="1:9" ht="28" customHeight="1" x14ac:dyDescent="0.35">
      <c r="A4" s="1" t="s">
        <v>250</v>
      </c>
      <c r="B4" s="1" t="s">
        <v>251</v>
      </c>
      <c r="C4" s="1" t="s">
        <v>252</v>
      </c>
      <c r="D4" s="1" t="s">
        <v>195</v>
      </c>
      <c r="E4" s="1" t="s">
        <v>253</v>
      </c>
      <c r="F4" s="1" t="s">
        <v>254</v>
      </c>
      <c r="G4" s="1" t="s">
        <v>255</v>
      </c>
      <c r="H4" s="1" t="s">
        <v>256</v>
      </c>
      <c r="I4" s="1" t="s">
        <v>257</v>
      </c>
    </row>
    <row r="5" spans="1:9" ht="46" customHeight="1" x14ac:dyDescent="0.35">
      <c r="A5" s="2" t="s">
        <v>258</v>
      </c>
      <c r="B5" s="2" t="s">
        <v>259</v>
      </c>
      <c r="C5" s="2" t="s">
        <v>260</v>
      </c>
      <c r="D5" s="2" t="s">
        <v>261</v>
      </c>
      <c r="E5" s="2" t="s">
        <v>262</v>
      </c>
      <c r="F5" s="2" t="s">
        <v>263</v>
      </c>
      <c r="G5" s="2">
        <v>999</v>
      </c>
      <c r="H5" s="2" t="s">
        <v>264</v>
      </c>
      <c r="I5" s="2" t="s">
        <v>265</v>
      </c>
    </row>
    <row r="6" spans="1:9" ht="46" customHeight="1" x14ac:dyDescent="0.35">
      <c r="A6" s="3" t="s">
        <v>266</v>
      </c>
      <c r="B6" s="3" t="s">
        <v>267</v>
      </c>
      <c r="C6" s="3" t="s">
        <v>268</v>
      </c>
      <c r="D6" s="3" t="s">
        <v>261</v>
      </c>
      <c r="E6" s="3" t="s">
        <v>262</v>
      </c>
      <c r="F6" s="3" t="s">
        <v>269</v>
      </c>
      <c r="G6" s="3">
        <v>999</v>
      </c>
      <c r="H6" s="3" t="s">
        <v>264</v>
      </c>
      <c r="I6" s="3" t="s">
        <v>265</v>
      </c>
    </row>
    <row r="7" spans="1:9" ht="46" customHeight="1" x14ac:dyDescent="0.35">
      <c r="A7" s="3" t="s">
        <v>270</v>
      </c>
      <c r="B7" s="3" t="s">
        <v>271</v>
      </c>
      <c r="C7" s="3" t="s">
        <v>272</v>
      </c>
      <c r="D7" s="3" t="s">
        <v>170</v>
      </c>
      <c r="E7" s="3" t="s">
        <v>262</v>
      </c>
      <c r="F7" s="3" t="s">
        <v>273</v>
      </c>
      <c r="G7" s="3">
        <v>999</v>
      </c>
      <c r="H7" s="3" t="s">
        <v>264</v>
      </c>
      <c r="I7" s="3" t="s">
        <v>274</v>
      </c>
    </row>
    <row r="8" spans="1:9" ht="46" customHeight="1" x14ac:dyDescent="0.35">
      <c r="A8" s="3" t="s">
        <v>275</v>
      </c>
      <c r="B8" s="3" t="s">
        <v>276</v>
      </c>
      <c r="C8" s="3" t="s">
        <v>277</v>
      </c>
      <c r="D8" s="3" t="s">
        <v>171</v>
      </c>
      <c r="E8" s="3" t="s">
        <v>262</v>
      </c>
      <c r="F8" s="3" t="s">
        <v>278</v>
      </c>
      <c r="G8" s="3">
        <v>999</v>
      </c>
      <c r="H8" s="3" t="s">
        <v>264</v>
      </c>
      <c r="I8" s="3" t="s">
        <v>279</v>
      </c>
    </row>
    <row r="9" spans="1:9" ht="46" customHeight="1" x14ac:dyDescent="0.35">
      <c r="A9" s="3" t="s">
        <v>280</v>
      </c>
      <c r="B9" s="3" t="s">
        <v>281</v>
      </c>
      <c r="C9" s="3" t="s">
        <v>260</v>
      </c>
      <c r="D9" s="3" t="s">
        <v>282</v>
      </c>
      <c r="E9" s="3" t="s">
        <v>262</v>
      </c>
      <c r="F9" s="3" t="s">
        <v>283</v>
      </c>
      <c r="G9" s="3">
        <v>999</v>
      </c>
      <c r="H9" s="3" t="s">
        <v>264</v>
      </c>
      <c r="I9" s="3" t="s">
        <v>284</v>
      </c>
    </row>
    <row r="10" spans="1:9" ht="46" customHeight="1" x14ac:dyDescent="0.35">
      <c r="A10" s="3" t="s">
        <v>285</v>
      </c>
      <c r="B10" s="3" t="s">
        <v>286</v>
      </c>
      <c r="C10" s="3" t="s">
        <v>272</v>
      </c>
      <c r="D10" s="3" t="s">
        <v>282</v>
      </c>
      <c r="E10" s="3" t="s">
        <v>262</v>
      </c>
      <c r="F10" s="3" t="s">
        <v>287</v>
      </c>
      <c r="G10" s="3">
        <v>999</v>
      </c>
      <c r="H10" s="3" t="s">
        <v>264</v>
      </c>
      <c r="I10" s="3" t="s">
        <v>288</v>
      </c>
    </row>
    <row r="11" spans="1:9" ht="46" customHeight="1" x14ac:dyDescent="0.35">
      <c r="A11" s="3" t="s">
        <v>289</v>
      </c>
      <c r="B11" s="3" t="s">
        <v>290</v>
      </c>
      <c r="C11" s="3" t="s">
        <v>260</v>
      </c>
      <c r="D11" s="3" t="s">
        <v>291</v>
      </c>
      <c r="E11" s="3" t="s">
        <v>292</v>
      </c>
      <c r="F11" s="3" t="s">
        <v>293</v>
      </c>
      <c r="G11" s="3">
        <v>30</v>
      </c>
      <c r="H11" s="3" t="s">
        <v>294</v>
      </c>
      <c r="I11" s="3" t="s">
        <v>295</v>
      </c>
    </row>
    <row r="12" spans="1:9" ht="46" customHeight="1" x14ac:dyDescent="0.35">
      <c r="A12" s="4" t="s">
        <v>296</v>
      </c>
      <c r="B12" s="4" t="s">
        <v>297</v>
      </c>
      <c r="C12" s="4" t="s">
        <v>298</v>
      </c>
      <c r="D12" s="4" t="s">
        <v>299</v>
      </c>
      <c r="E12" s="4" t="s">
        <v>292</v>
      </c>
      <c r="F12" s="4" t="s">
        <v>300</v>
      </c>
      <c r="G12" s="4">
        <v>50</v>
      </c>
      <c r="H12" s="4" t="s">
        <v>294</v>
      </c>
      <c r="I12" s="4" t="s">
        <v>301</v>
      </c>
    </row>
  </sheetData>
  <mergeCells count="2">
    <mergeCell ref="A1:I1"/>
    <mergeCell ref="A2:I2"/>
  </mergeCells>
  <phoneticPr fontId="8" type="noConversion"/>
  <dataValidations count="1">
    <dataValidation type="list" sqref="H5:H12" xr:uid="{00000000-0002-0000-0800-000000000000}">
      <formula1>"候选,已确认,已拒绝"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28"/>
  <sheetViews>
    <sheetView showGridLines="0" workbookViewId="0">
      <selection sqref="A1:U1"/>
    </sheetView>
  </sheetViews>
  <sheetFormatPr defaultRowHeight="14.5" x14ac:dyDescent="0.35"/>
  <cols>
    <col min="1" max="1" width="12" customWidth="1"/>
    <col min="2" max="6" width="11" customWidth="1"/>
    <col min="7" max="10" width="12" customWidth="1"/>
    <col min="11" max="20" width="11" customWidth="1"/>
    <col min="21" max="21" width="18" customWidth="1"/>
  </cols>
  <sheetData>
    <row r="1" spans="1:21" ht="34" customHeight="1" x14ac:dyDescent="0.35">
      <c r="A1" s="24" t="s">
        <v>302</v>
      </c>
      <c r="B1" s="24" t="s">
        <v>302</v>
      </c>
      <c r="C1" s="24" t="s">
        <v>302</v>
      </c>
      <c r="D1" s="24" t="s">
        <v>302</v>
      </c>
      <c r="E1" s="24" t="s">
        <v>302</v>
      </c>
      <c r="F1" s="24" t="s">
        <v>302</v>
      </c>
      <c r="G1" s="24" t="s">
        <v>302</v>
      </c>
      <c r="H1" s="24" t="s">
        <v>302</v>
      </c>
      <c r="I1" s="24" t="s">
        <v>302</v>
      </c>
      <c r="J1" s="24" t="s">
        <v>302</v>
      </c>
      <c r="K1" s="24" t="s">
        <v>302</v>
      </c>
      <c r="L1" s="24" t="s">
        <v>302</v>
      </c>
      <c r="M1" s="24" t="s">
        <v>302</v>
      </c>
      <c r="N1" s="24" t="s">
        <v>302</v>
      </c>
      <c r="O1" s="24" t="s">
        <v>302</v>
      </c>
      <c r="P1" s="24" t="s">
        <v>302</v>
      </c>
      <c r="Q1" s="24" t="s">
        <v>302</v>
      </c>
      <c r="R1" s="24" t="s">
        <v>302</v>
      </c>
      <c r="S1" s="24" t="s">
        <v>302</v>
      </c>
      <c r="T1" s="24" t="s">
        <v>302</v>
      </c>
      <c r="U1" s="24" t="s">
        <v>302</v>
      </c>
    </row>
    <row r="2" spans="1:21" ht="30" customHeight="1" x14ac:dyDescent="0.35">
      <c r="A2" s="25" t="s">
        <v>303</v>
      </c>
      <c r="B2" s="25" t="s">
        <v>303</v>
      </c>
      <c r="C2" s="25" t="s">
        <v>303</v>
      </c>
      <c r="D2" s="25" t="s">
        <v>303</v>
      </c>
      <c r="E2" s="25" t="s">
        <v>303</v>
      </c>
      <c r="F2" s="25" t="s">
        <v>303</v>
      </c>
      <c r="G2" s="25" t="s">
        <v>303</v>
      </c>
      <c r="H2" s="25" t="s">
        <v>303</v>
      </c>
      <c r="I2" s="25" t="s">
        <v>303</v>
      </c>
      <c r="J2" s="25" t="s">
        <v>303</v>
      </c>
      <c r="K2" s="25" t="s">
        <v>303</v>
      </c>
      <c r="L2" s="25" t="s">
        <v>303</v>
      </c>
      <c r="M2" s="25" t="s">
        <v>303</v>
      </c>
      <c r="N2" s="25" t="s">
        <v>303</v>
      </c>
      <c r="O2" s="25" t="s">
        <v>303</v>
      </c>
      <c r="P2" s="25" t="s">
        <v>303</v>
      </c>
      <c r="Q2" s="25" t="s">
        <v>303</v>
      </c>
      <c r="R2" s="25" t="s">
        <v>303</v>
      </c>
      <c r="S2" s="25" t="s">
        <v>303</v>
      </c>
      <c r="T2" s="25" t="s">
        <v>303</v>
      </c>
      <c r="U2" s="25" t="s">
        <v>303</v>
      </c>
    </row>
    <row r="3" spans="1:21" x14ac:dyDescent="0.3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1" ht="28" customHeight="1" x14ac:dyDescent="0.35">
      <c r="A4" s="1" t="s">
        <v>304</v>
      </c>
      <c r="B4" s="1" t="s">
        <v>221</v>
      </c>
      <c r="C4" s="1" t="s">
        <v>127</v>
      </c>
      <c r="D4" s="1" t="s">
        <v>92</v>
      </c>
      <c r="E4" s="1" t="s">
        <v>191</v>
      </c>
      <c r="F4" s="1" t="s">
        <v>168</v>
      </c>
      <c r="G4" s="1" t="s">
        <v>130</v>
      </c>
      <c r="H4" s="1" t="s">
        <v>305</v>
      </c>
      <c r="I4" s="1" t="s">
        <v>306</v>
      </c>
      <c r="J4" s="1" t="s">
        <v>307</v>
      </c>
      <c r="K4" s="1" t="s">
        <v>308</v>
      </c>
      <c r="L4" s="1" t="s">
        <v>309</v>
      </c>
      <c r="M4" s="1" t="s">
        <v>310</v>
      </c>
      <c r="N4" s="1" t="s">
        <v>311</v>
      </c>
      <c r="O4" s="1" t="s">
        <v>312</v>
      </c>
      <c r="P4" s="1" t="s">
        <v>313</v>
      </c>
      <c r="Q4" s="1" t="s">
        <v>314</v>
      </c>
      <c r="R4" s="1" t="s">
        <v>315</v>
      </c>
      <c r="S4" s="1" t="s">
        <v>316</v>
      </c>
      <c r="T4" s="1" t="s">
        <v>317</v>
      </c>
      <c r="U4" s="1" t="s">
        <v>318</v>
      </c>
    </row>
    <row r="5" spans="1:21" ht="22" customHeight="1" x14ac:dyDescent="0.35">
      <c r="A5" s="2" t="s">
        <v>41</v>
      </c>
      <c r="B5" s="2" t="s">
        <v>224</v>
      </c>
      <c r="C5" s="11" t="str">
        <f>VLOOKUP(B5,课程需求!$A$5:$H$28,2,FALSE)</f>
        <v>B01</v>
      </c>
      <c r="D5" s="11" t="str">
        <f>VLOOKUP(B5,课程需求!$A$5:$H$28,3,FALSE)</f>
        <v>T01</v>
      </c>
      <c r="E5" s="2" t="s">
        <v>197</v>
      </c>
      <c r="F5" s="2" t="s">
        <v>183</v>
      </c>
      <c r="G5" s="11">
        <f>VLOOKUP(B5,课程需求!$A$5:$H$28,5,FALSE)</f>
        <v>18</v>
      </c>
      <c r="H5" s="11">
        <f>VLOOKUP(F5,教室!$A$5:$F$10,3,FALSE)</f>
        <v>70</v>
      </c>
      <c r="I5" s="11" t="str">
        <f>VLOOKUP(B5,课程需求!$A$5:$H$28,6,FALSE)</f>
        <v>投影</v>
      </c>
      <c r="J5" s="11" t="str">
        <f>VLOOKUP(F5,教室!$A$5:$F$10,4,FALSE)</f>
        <v>投影</v>
      </c>
      <c r="K5" s="14">
        <f t="shared" ref="K5:K28" si="0">IF(COUNTIFS($D$5:$D$28,D5,$E$5:$E$28,E5)&gt;1,1,0)</f>
        <v>1</v>
      </c>
      <c r="L5" s="14">
        <f t="shared" ref="L5:L28" si="1">IF(COUNTIFS($C$5:$C$28,C5,$E$5:$E$28,E5)&gt;1,1,0)</f>
        <v>0</v>
      </c>
      <c r="M5" s="14">
        <f t="shared" ref="M5:M28" si="2">IF(COUNTIFS($F$5:$F$28,F5,$E$5:$E$28,E5)&gt;1,1,0)</f>
        <v>1</v>
      </c>
      <c r="N5" s="14">
        <f>IF(ISNUMBER(SEARCH("|"&amp;E5&amp;"|","|"&amp;VLOOKUP(D5,教师!$A$5:$G$10,5,FALSE)&amp;"|")),1,0)</f>
        <v>0</v>
      </c>
      <c r="O5" s="14">
        <f>IF(ISNUMBER(SEARCH("|"&amp;E5&amp;"|","|"&amp;VLOOKUP(F5,教室!$A$5:$F$10,5,FALSE)&amp;"|")),0,1)</f>
        <v>0</v>
      </c>
      <c r="P5" s="14">
        <f t="shared" ref="P5:P28" si="3">IF(G5&gt;H5,1,0)</f>
        <v>0</v>
      </c>
      <c r="Q5" s="14">
        <f t="shared" ref="Q5:Q28" si="4">IF(ISNUMBER(SEARCH(I5,J5)),0,1)</f>
        <v>0</v>
      </c>
      <c r="R5" s="14">
        <f t="shared" ref="R5:R28" si="5">IF(SUM(K5:Q5)&gt;0,1,0)</f>
        <v>1</v>
      </c>
      <c r="S5" s="14">
        <f>IF(ISNUMBER(SEARCH("|"&amp;E5&amp;"|","|"&amp;VLOOKUP(D5,教师!$A$5:$G$10,6,FALSE)&amp;"|")),1,0)</f>
        <v>0</v>
      </c>
      <c r="T5" s="14">
        <f>IF(COUNTIFS($E$5:E5,E5,$F$5:F5,F5)=1,1,0)</f>
        <v>1</v>
      </c>
      <c r="U5" s="2" t="s">
        <v>319</v>
      </c>
    </row>
    <row r="6" spans="1:21" ht="22" customHeight="1" x14ac:dyDescent="0.35">
      <c r="A6" s="3" t="s">
        <v>41</v>
      </c>
      <c r="B6" s="3" t="s">
        <v>225</v>
      </c>
      <c r="C6" s="12" t="str">
        <f>VLOOKUP(B6,课程需求!$A$5:$H$28,2,FALSE)</f>
        <v>B02</v>
      </c>
      <c r="D6" s="12" t="str">
        <f>VLOOKUP(B6,课程需求!$A$5:$H$28,3,FALSE)</f>
        <v>T02</v>
      </c>
      <c r="E6" s="3" t="s">
        <v>197</v>
      </c>
      <c r="F6" s="3" t="s">
        <v>185</v>
      </c>
      <c r="G6" s="12">
        <f>VLOOKUP(B6,课程需求!$A$5:$H$28,5,FALSE)</f>
        <v>22</v>
      </c>
      <c r="H6" s="12">
        <f>VLOOKUP(F6,教室!$A$5:$F$10,3,FALSE)</f>
        <v>70</v>
      </c>
      <c r="I6" s="12" t="str">
        <f>VLOOKUP(B6,课程需求!$A$5:$H$28,6,FALSE)</f>
        <v>投影</v>
      </c>
      <c r="J6" s="12" t="str">
        <f>VLOOKUP(F6,教室!$A$5:$F$10,4,FALSE)</f>
        <v>投影</v>
      </c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>IF(ISNUMBER(SEARCH("|"&amp;E6&amp;"|","|"&amp;VLOOKUP(D6,教师!$A$5:$G$10,5,FALSE)&amp;"|")),1,0)</f>
        <v>0</v>
      </c>
      <c r="O6" s="15">
        <f>IF(ISNUMBER(SEARCH("|"&amp;E6&amp;"|","|"&amp;VLOOKUP(F6,教室!$A$5:$F$10,5,FALSE)&amp;"|")),0,1)</f>
        <v>0</v>
      </c>
      <c r="P6" s="15">
        <f t="shared" si="3"/>
        <v>0</v>
      </c>
      <c r="Q6" s="15">
        <f t="shared" si="4"/>
        <v>0</v>
      </c>
      <c r="R6" s="15">
        <f t="shared" si="5"/>
        <v>0</v>
      </c>
      <c r="S6" s="15">
        <f>IF(ISNUMBER(SEARCH("|"&amp;E6&amp;"|","|"&amp;VLOOKUP(D6,教师!$A$5:$G$10,6,FALSE)&amp;"|")),1,0)</f>
        <v>1</v>
      </c>
      <c r="T6" s="15">
        <f>IF(COUNTIFS($E$5:E6,E6,$F$5:F6,F6)=1,1,0)</f>
        <v>1</v>
      </c>
      <c r="U6" s="3" t="s">
        <v>319</v>
      </c>
    </row>
    <row r="7" spans="1:21" ht="22" customHeight="1" x14ac:dyDescent="0.35">
      <c r="A7" s="3" t="s">
        <v>41</v>
      </c>
      <c r="B7" s="3" t="s">
        <v>226</v>
      </c>
      <c r="C7" s="12" t="str">
        <f>VLOOKUP(B7,课程需求!$A$5:$H$28,2,FALSE)</f>
        <v>B03</v>
      </c>
      <c r="D7" s="12" t="str">
        <f>VLOOKUP(B7,课程需求!$A$5:$H$28,3,FALSE)</f>
        <v>T03</v>
      </c>
      <c r="E7" s="3" t="s">
        <v>207</v>
      </c>
      <c r="F7" s="3" t="s">
        <v>187</v>
      </c>
      <c r="G7" s="12">
        <f>VLOOKUP(B7,课程需求!$A$5:$H$28,5,FALSE)</f>
        <v>28</v>
      </c>
      <c r="H7" s="12">
        <f>VLOOKUP(F7,教室!$A$5:$F$10,3,FALSE)</f>
        <v>70</v>
      </c>
      <c r="I7" s="12" t="str">
        <f>VLOOKUP(B7,课程需求!$A$5:$H$28,6,FALSE)</f>
        <v>投影</v>
      </c>
      <c r="J7" s="12" t="str">
        <f>VLOOKUP(F7,教室!$A$5:$F$10,4,FALSE)</f>
        <v>投影|电脑</v>
      </c>
      <c r="K7" s="15">
        <f t="shared" si="0"/>
        <v>1</v>
      </c>
      <c r="L7" s="15">
        <f t="shared" si="1"/>
        <v>0</v>
      </c>
      <c r="M7" s="15">
        <f t="shared" si="2"/>
        <v>1</v>
      </c>
      <c r="N7" s="15">
        <f>IF(ISNUMBER(SEARCH("|"&amp;E7&amp;"|","|"&amp;VLOOKUP(D7,教师!$A$5:$G$10,5,FALSE)&amp;"|")),1,0)</f>
        <v>0</v>
      </c>
      <c r="O7" s="15">
        <f>IF(ISNUMBER(SEARCH("|"&amp;E7&amp;"|","|"&amp;VLOOKUP(F7,教室!$A$5:$F$10,5,FALSE)&amp;"|")),0,1)</f>
        <v>0</v>
      </c>
      <c r="P7" s="15">
        <f t="shared" si="3"/>
        <v>0</v>
      </c>
      <c r="Q7" s="15">
        <f t="shared" si="4"/>
        <v>0</v>
      </c>
      <c r="R7" s="15">
        <f t="shared" si="5"/>
        <v>1</v>
      </c>
      <c r="S7" s="15">
        <f>IF(ISNUMBER(SEARCH("|"&amp;E7&amp;"|","|"&amp;VLOOKUP(D7,教师!$A$5:$G$10,6,FALSE)&amp;"|")),1,0)</f>
        <v>0</v>
      </c>
      <c r="T7" s="15">
        <f>IF(COUNTIFS($E$5:E7,E7,$F$5:F7,F7)=1,1,0)</f>
        <v>1</v>
      </c>
      <c r="U7" s="3" t="s">
        <v>319</v>
      </c>
    </row>
    <row r="8" spans="1:21" ht="22" customHeight="1" x14ac:dyDescent="0.35">
      <c r="A8" s="3" t="s">
        <v>41</v>
      </c>
      <c r="B8" s="3" t="s">
        <v>227</v>
      </c>
      <c r="C8" s="12" t="str">
        <f>VLOOKUP(B8,课程需求!$A$5:$H$28,2,FALSE)</f>
        <v>B04</v>
      </c>
      <c r="D8" s="12" t="str">
        <f>VLOOKUP(B8,课程需求!$A$5:$H$28,3,FALSE)</f>
        <v>T04</v>
      </c>
      <c r="E8" s="3" t="s">
        <v>203</v>
      </c>
      <c r="F8" s="3" t="s">
        <v>183</v>
      </c>
      <c r="G8" s="12">
        <f>VLOOKUP(B8,课程需求!$A$5:$H$28,5,FALSE)</f>
        <v>32</v>
      </c>
      <c r="H8" s="12">
        <f>VLOOKUP(F8,教室!$A$5:$F$10,3,FALSE)</f>
        <v>70</v>
      </c>
      <c r="I8" s="12" t="str">
        <f>VLOOKUP(B8,课程需求!$A$5:$H$28,6,FALSE)</f>
        <v>投影</v>
      </c>
      <c r="J8" s="12" t="str">
        <f>VLOOKUP(F8,教室!$A$5:$F$10,4,FALSE)</f>
        <v>投影</v>
      </c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>IF(ISNUMBER(SEARCH("|"&amp;E8&amp;"|","|"&amp;VLOOKUP(D8,教师!$A$5:$G$10,5,FALSE)&amp;"|")),1,0)</f>
        <v>0</v>
      </c>
      <c r="O8" s="15">
        <f>IF(ISNUMBER(SEARCH("|"&amp;E8&amp;"|","|"&amp;VLOOKUP(F8,教室!$A$5:$F$10,5,FALSE)&amp;"|")),0,1)</f>
        <v>0</v>
      </c>
      <c r="P8" s="15">
        <f t="shared" si="3"/>
        <v>0</v>
      </c>
      <c r="Q8" s="15">
        <f t="shared" si="4"/>
        <v>0</v>
      </c>
      <c r="R8" s="15">
        <f t="shared" si="5"/>
        <v>0</v>
      </c>
      <c r="S8" s="15">
        <f>IF(ISNUMBER(SEARCH("|"&amp;E8&amp;"|","|"&amp;VLOOKUP(D8,教师!$A$5:$G$10,6,FALSE)&amp;"|")),1,0)</f>
        <v>1</v>
      </c>
      <c r="T8" s="15">
        <f>IF(COUNTIFS($E$5:E8,E8,$F$5:F8,F8)=1,1,0)</f>
        <v>1</v>
      </c>
      <c r="U8" s="3" t="s">
        <v>319</v>
      </c>
    </row>
    <row r="9" spans="1:21" ht="22" customHeight="1" x14ac:dyDescent="0.35">
      <c r="A9" s="3" t="s">
        <v>41</v>
      </c>
      <c r="B9" s="3" t="s">
        <v>228</v>
      </c>
      <c r="C9" s="12" t="str">
        <f>VLOOKUP(B9,课程需求!$A$5:$H$28,2,FALSE)</f>
        <v>B05</v>
      </c>
      <c r="D9" s="12" t="str">
        <f>VLOOKUP(B9,课程需求!$A$5:$H$28,3,FALSE)</f>
        <v>T05</v>
      </c>
      <c r="E9" s="3" t="s">
        <v>203</v>
      </c>
      <c r="F9" s="3" t="s">
        <v>185</v>
      </c>
      <c r="G9" s="12">
        <f>VLOOKUP(B9,课程需求!$A$5:$H$28,5,FALSE)</f>
        <v>40</v>
      </c>
      <c r="H9" s="12">
        <f>VLOOKUP(F9,教室!$A$5:$F$10,3,FALSE)</f>
        <v>70</v>
      </c>
      <c r="I9" s="12" t="str">
        <f>VLOOKUP(B9,课程需求!$A$5:$H$28,6,FALSE)</f>
        <v>投影</v>
      </c>
      <c r="J9" s="12" t="str">
        <f>VLOOKUP(F9,教室!$A$5:$F$10,4,FALSE)</f>
        <v>投影</v>
      </c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>IF(ISNUMBER(SEARCH("|"&amp;E9&amp;"|","|"&amp;VLOOKUP(D9,教师!$A$5:$G$10,5,FALSE)&amp;"|")),1,0)</f>
        <v>0</v>
      </c>
      <c r="O9" s="15">
        <f>IF(ISNUMBER(SEARCH("|"&amp;E9&amp;"|","|"&amp;VLOOKUP(F9,教室!$A$5:$F$10,5,FALSE)&amp;"|")),0,1)</f>
        <v>0</v>
      </c>
      <c r="P9" s="15">
        <f t="shared" si="3"/>
        <v>0</v>
      </c>
      <c r="Q9" s="15">
        <f t="shared" si="4"/>
        <v>0</v>
      </c>
      <c r="R9" s="15">
        <f t="shared" si="5"/>
        <v>0</v>
      </c>
      <c r="S9" s="15">
        <f>IF(ISNUMBER(SEARCH("|"&amp;E9&amp;"|","|"&amp;VLOOKUP(D9,教师!$A$5:$G$10,6,FALSE)&amp;"|")),1,0)</f>
        <v>1</v>
      </c>
      <c r="T9" s="15">
        <f>IF(COUNTIFS($E$5:E9,E9,$F$5:F9,F9)=1,1,0)</f>
        <v>1</v>
      </c>
      <c r="U9" s="3" t="s">
        <v>319</v>
      </c>
    </row>
    <row r="10" spans="1:21" ht="22" customHeight="1" x14ac:dyDescent="0.35">
      <c r="A10" s="3" t="s">
        <v>41</v>
      </c>
      <c r="B10" s="3" t="s">
        <v>229</v>
      </c>
      <c r="C10" s="12" t="str">
        <f>VLOOKUP(B10,课程需求!$A$5:$H$28,2,FALSE)</f>
        <v>B06</v>
      </c>
      <c r="D10" s="12" t="str">
        <f>VLOOKUP(B10,课程需求!$A$5:$H$28,3,FALSE)</f>
        <v>T06</v>
      </c>
      <c r="E10" s="3" t="s">
        <v>203</v>
      </c>
      <c r="F10" s="3" t="s">
        <v>187</v>
      </c>
      <c r="G10" s="12">
        <f>VLOOKUP(B10,课程需求!$A$5:$H$28,5,FALSE)</f>
        <v>48</v>
      </c>
      <c r="H10" s="12">
        <f>VLOOKUP(F10,教室!$A$5:$F$10,3,FALSE)</f>
        <v>70</v>
      </c>
      <c r="I10" s="12" t="str">
        <f>VLOOKUP(B10,课程需求!$A$5:$H$28,6,FALSE)</f>
        <v>电脑</v>
      </c>
      <c r="J10" s="12" t="str">
        <f>VLOOKUP(F10,教室!$A$5:$F$10,4,FALSE)</f>
        <v>投影|电脑</v>
      </c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>IF(ISNUMBER(SEARCH("|"&amp;E10&amp;"|","|"&amp;VLOOKUP(D10,教师!$A$5:$G$10,5,FALSE)&amp;"|")),1,0)</f>
        <v>0</v>
      </c>
      <c r="O10" s="15">
        <f>IF(ISNUMBER(SEARCH("|"&amp;E10&amp;"|","|"&amp;VLOOKUP(F10,教室!$A$5:$F$10,5,FALSE)&amp;"|")),0,1)</f>
        <v>0</v>
      </c>
      <c r="P10" s="15">
        <f t="shared" si="3"/>
        <v>0</v>
      </c>
      <c r="Q10" s="15">
        <f t="shared" si="4"/>
        <v>0</v>
      </c>
      <c r="R10" s="15">
        <f t="shared" si="5"/>
        <v>0</v>
      </c>
      <c r="S10" s="15">
        <f>IF(ISNUMBER(SEARCH("|"&amp;E10&amp;"|","|"&amp;VLOOKUP(D10,教师!$A$5:$G$10,6,FALSE)&amp;"|")),1,0)</f>
        <v>1</v>
      </c>
      <c r="T10" s="15">
        <f>IF(COUNTIFS($E$5:E10,E10,$F$5:F10,F10)=1,1,0)</f>
        <v>1</v>
      </c>
      <c r="U10" s="3" t="s">
        <v>319</v>
      </c>
    </row>
    <row r="11" spans="1:21" ht="22" customHeight="1" x14ac:dyDescent="0.35">
      <c r="A11" s="3" t="s">
        <v>41</v>
      </c>
      <c r="B11" s="3" t="s">
        <v>230</v>
      </c>
      <c r="C11" s="12" t="str">
        <f>VLOOKUP(B11,课程需求!$A$5:$H$28,2,FALSE)</f>
        <v>B07</v>
      </c>
      <c r="D11" s="12" t="str">
        <f>VLOOKUP(B11,课程需求!$A$5:$H$28,3,FALSE)</f>
        <v>T01</v>
      </c>
      <c r="E11" s="3" t="s">
        <v>197</v>
      </c>
      <c r="F11" s="3" t="s">
        <v>183</v>
      </c>
      <c r="G11" s="12">
        <f>VLOOKUP(B11,课程需求!$A$5:$H$28,5,FALSE)</f>
        <v>20</v>
      </c>
      <c r="H11" s="12">
        <f>VLOOKUP(F11,教室!$A$5:$F$10,3,FALSE)</f>
        <v>70</v>
      </c>
      <c r="I11" s="12" t="str">
        <f>VLOOKUP(B11,课程需求!$A$5:$H$28,6,FALSE)</f>
        <v>投影</v>
      </c>
      <c r="J11" s="12" t="str">
        <f>VLOOKUP(F11,教室!$A$5:$F$10,4,FALSE)</f>
        <v>投影</v>
      </c>
      <c r="K11" s="15">
        <f t="shared" si="0"/>
        <v>1</v>
      </c>
      <c r="L11" s="15">
        <f t="shared" si="1"/>
        <v>0</v>
      </c>
      <c r="M11" s="15">
        <f t="shared" si="2"/>
        <v>1</v>
      </c>
      <c r="N11" s="15">
        <f>IF(ISNUMBER(SEARCH("|"&amp;E11&amp;"|","|"&amp;VLOOKUP(D11,教师!$A$5:$G$10,5,FALSE)&amp;"|")),1,0)</f>
        <v>0</v>
      </c>
      <c r="O11" s="15">
        <f>IF(ISNUMBER(SEARCH("|"&amp;E11&amp;"|","|"&amp;VLOOKUP(F11,教室!$A$5:$F$10,5,FALSE)&amp;"|")),0,1)</f>
        <v>0</v>
      </c>
      <c r="P11" s="15">
        <f t="shared" si="3"/>
        <v>0</v>
      </c>
      <c r="Q11" s="15">
        <f t="shared" si="4"/>
        <v>0</v>
      </c>
      <c r="R11" s="15">
        <f t="shared" si="5"/>
        <v>1</v>
      </c>
      <c r="S11" s="15">
        <f>IF(ISNUMBER(SEARCH("|"&amp;E11&amp;"|","|"&amp;VLOOKUP(D11,教师!$A$5:$G$10,6,FALSE)&amp;"|")),1,0)</f>
        <v>0</v>
      </c>
      <c r="T11" s="15">
        <f>IF(COUNTIFS($E$5:E11,E11,$F$5:F11,F11)=1,1,0)</f>
        <v>0</v>
      </c>
      <c r="U11" s="3" t="s">
        <v>319</v>
      </c>
    </row>
    <row r="12" spans="1:21" ht="22" customHeight="1" x14ac:dyDescent="0.35">
      <c r="A12" s="3" t="s">
        <v>41</v>
      </c>
      <c r="B12" s="3" t="s">
        <v>231</v>
      </c>
      <c r="C12" s="12" t="str">
        <f>VLOOKUP(B12,课程需求!$A$5:$H$28,2,FALSE)</f>
        <v>B08</v>
      </c>
      <c r="D12" s="12" t="str">
        <f>VLOOKUP(B12,课程需求!$A$5:$H$28,3,FALSE)</f>
        <v>T02</v>
      </c>
      <c r="E12" s="3" t="s">
        <v>207</v>
      </c>
      <c r="F12" s="3" t="s">
        <v>185</v>
      </c>
      <c r="G12" s="12">
        <f>VLOOKUP(B12,课程需求!$A$5:$H$28,5,FALSE)</f>
        <v>26</v>
      </c>
      <c r="H12" s="12">
        <f>VLOOKUP(F12,教室!$A$5:$F$10,3,FALSE)</f>
        <v>70</v>
      </c>
      <c r="I12" s="12" t="str">
        <f>VLOOKUP(B12,课程需求!$A$5:$H$28,6,FALSE)</f>
        <v>投影</v>
      </c>
      <c r="J12" s="12" t="str">
        <f>VLOOKUP(F12,教室!$A$5:$F$10,4,FALSE)</f>
        <v>投影</v>
      </c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>IF(ISNUMBER(SEARCH("|"&amp;E12&amp;"|","|"&amp;VLOOKUP(D12,教师!$A$5:$G$10,5,FALSE)&amp;"|")),1,0)</f>
        <v>0</v>
      </c>
      <c r="O12" s="15">
        <f>IF(ISNUMBER(SEARCH("|"&amp;E12&amp;"|","|"&amp;VLOOKUP(F12,教室!$A$5:$F$10,5,FALSE)&amp;"|")),0,1)</f>
        <v>0</v>
      </c>
      <c r="P12" s="15">
        <f t="shared" si="3"/>
        <v>0</v>
      </c>
      <c r="Q12" s="15">
        <f t="shared" si="4"/>
        <v>0</v>
      </c>
      <c r="R12" s="15">
        <f t="shared" si="5"/>
        <v>0</v>
      </c>
      <c r="S12" s="15">
        <f>IF(ISNUMBER(SEARCH("|"&amp;E12&amp;"|","|"&amp;VLOOKUP(D12,教师!$A$5:$G$10,6,FALSE)&amp;"|")),1,0)</f>
        <v>1</v>
      </c>
      <c r="T12" s="15">
        <f>IF(COUNTIFS($E$5:E12,E12,$F$5:F12,F12)=1,1,0)</f>
        <v>1</v>
      </c>
      <c r="U12" s="3" t="s">
        <v>319</v>
      </c>
    </row>
    <row r="13" spans="1:21" ht="22" customHeight="1" x14ac:dyDescent="0.35">
      <c r="A13" s="3" t="s">
        <v>41</v>
      </c>
      <c r="B13" s="3" t="s">
        <v>232</v>
      </c>
      <c r="C13" s="12" t="str">
        <f>VLOOKUP(B13,课程需求!$A$5:$H$28,2,FALSE)</f>
        <v>B09</v>
      </c>
      <c r="D13" s="12" t="str">
        <f>VLOOKUP(B13,课程需求!$A$5:$H$28,3,FALSE)</f>
        <v>T03</v>
      </c>
      <c r="E13" s="3" t="s">
        <v>207</v>
      </c>
      <c r="F13" s="3" t="s">
        <v>187</v>
      </c>
      <c r="G13" s="12">
        <f>VLOOKUP(B13,课程需求!$A$5:$H$28,5,FALSE)</f>
        <v>36</v>
      </c>
      <c r="H13" s="12">
        <f>VLOOKUP(F13,教室!$A$5:$F$10,3,FALSE)</f>
        <v>70</v>
      </c>
      <c r="I13" s="12" t="str">
        <f>VLOOKUP(B13,课程需求!$A$5:$H$28,6,FALSE)</f>
        <v>投影</v>
      </c>
      <c r="J13" s="12" t="str">
        <f>VLOOKUP(F13,教室!$A$5:$F$10,4,FALSE)</f>
        <v>投影|电脑</v>
      </c>
      <c r="K13" s="15">
        <f t="shared" si="0"/>
        <v>1</v>
      </c>
      <c r="L13" s="15">
        <f t="shared" si="1"/>
        <v>0</v>
      </c>
      <c r="M13" s="15">
        <f t="shared" si="2"/>
        <v>1</v>
      </c>
      <c r="N13" s="15">
        <f>IF(ISNUMBER(SEARCH("|"&amp;E13&amp;"|","|"&amp;VLOOKUP(D13,教师!$A$5:$G$10,5,FALSE)&amp;"|")),1,0)</f>
        <v>0</v>
      </c>
      <c r="O13" s="15">
        <f>IF(ISNUMBER(SEARCH("|"&amp;E13&amp;"|","|"&amp;VLOOKUP(F13,教室!$A$5:$F$10,5,FALSE)&amp;"|")),0,1)</f>
        <v>0</v>
      </c>
      <c r="P13" s="15">
        <f t="shared" si="3"/>
        <v>0</v>
      </c>
      <c r="Q13" s="15">
        <f t="shared" si="4"/>
        <v>0</v>
      </c>
      <c r="R13" s="15">
        <f t="shared" si="5"/>
        <v>1</v>
      </c>
      <c r="S13" s="15">
        <f>IF(ISNUMBER(SEARCH("|"&amp;E13&amp;"|","|"&amp;VLOOKUP(D13,教师!$A$5:$G$10,6,FALSE)&amp;"|")),1,0)</f>
        <v>0</v>
      </c>
      <c r="T13" s="15">
        <f>IF(COUNTIFS($E$5:E13,E13,$F$5:F13,F13)=1,1,0)</f>
        <v>0</v>
      </c>
      <c r="U13" s="3" t="s">
        <v>319</v>
      </c>
    </row>
    <row r="14" spans="1:21" ht="22" customHeight="1" x14ac:dyDescent="0.35">
      <c r="A14" s="3" t="s">
        <v>41</v>
      </c>
      <c r="B14" s="3" t="s">
        <v>233</v>
      </c>
      <c r="C14" s="12" t="str">
        <f>VLOOKUP(B14,课程需求!$A$5:$H$28,2,FALSE)</f>
        <v>B10</v>
      </c>
      <c r="D14" s="12" t="str">
        <f>VLOOKUP(B14,课程需求!$A$5:$H$28,3,FALSE)</f>
        <v>T04</v>
      </c>
      <c r="E14" s="3" t="s">
        <v>209</v>
      </c>
      <c r="F14" s="3" t="s">
        <v>183</v>
      </c>
      <c r="G14" s="12">
        <f>VLOOKUP(B14,课程需求!$A$5:$H$28,5,FALSE)</f>
        <v>16</v>
      </c>
      <c r="H14" s="12">
        <f>VLOOKUP(F14,教室!$A$5:$F$10,3,FALSE)</f>
        <v>70</v>
      </c>
      <c r="I14" s="12" t="str">
        <f>VLOOKUP(B14,课程需求!$A$5:$H$28,6,FALSE)</f>
        <v>投影</v>
      </c>
      <c r="J14" s="12" t="str">
        <f>VLOOKUP(F14,教室!$A$5:$F$10,4,FALSE)</f>
        <v>投影</v>
      </c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>IF(ISNUMBER(SEARCH("|"&amp;E14&amp;"|","|"&amp;VLOOKUP(D14,教师!$A$5:$G$10,5,FALSE)&amp;"|")),1,0)</f>
        <v>0</v>
      </c>
      <c r="O14" s="15">
        <f>IF(ISNUMBER(SEARCH("|"&amp;E14&amp;"|","|"&amp;VLOOKUP(F14,教室!$A$5:$F$10,5,FALSE)&amp;"|")),0,1)</f>
        <v>0</v>
      </c>
      <c r="P14" s="15">
        <f t="shared" si="3"/>
        <v>0</v>
      </c>
      <c r="Q14" s="15">
        <f t="shared" si="4"/>
        <v>0</v>
      </c>
      <c r="R14" s="15">
        <f t="shared" si="5"/>
        <v>0</v>
      </c>
      <c r="S14" s="15">
        <f>IF(ISNUMBER(SEARCH("|"&amp;E14&amp;"|","|"&amp;VLOOKUP(D14,教师!$A$5:$G$10,6,FALSE)&amp;"|")),1,0)</f>
        <v>1</v>
      </c>
      <c r="T14" s="15">
        <f>IF(COUNTIFS($E$5:E14,E14,$F$5:F14,F14)=1,1,0)</f>
        <v>1</v>
      </c>
      <c r="U14" s="3" t="s">
        <v>319</v>
      </c>
    </row>
    <row r="15" spans="1:21" ht="22" customHeight="1" x14ac:dyDescent="0.35">
      <c r="A15" s="3" t="s">
        <v>41</v>
      </c>
      <c r="B15" s="3" t="s">
        <v>234</v>
      </c>
      <c r="C15" s="12" t="str">
        <f>VLOOKUP(B15,课程需求!$A$5:$H$28,2,FALSE)</f>
        <v>B11</v>
      </c>
      <c r="D15" s="12" t="str">
        <f>VLOOKUP(B15,课程需求!$A$5:$H$28,3,FALSE)</f>
        <v>T05</v>
      </c>
      <c r="E15" s="3" t="s">
        <v>209</v>
      </c>
      <c r="F15" s="3" t="s">
        <v>185</v>
      </c>
      <c r="G15" s="12">
        <f>VLOOKUP(B15,课程需求!$A$5:$H$28,5,FALSE)</f>
        <v>24</v>
      </c>
      <c r="H15" s="12">
        <f>VLOOKUP(F15,教室!$A$5:$F$10,3,FALSE)</f>
        <v>70</v>
      </c>
      <c r="I15" s="12" t="str">
        <f>VLOOKUP(B15,课程需求!$A$5:$H$28,6,FALSE)</f>
        <v>投影</v>
      </c>
      <c r="J15" s="12" t="str">
        <f>VLOOKUP(F15,教室!$A$5:$F$10,4,FALSE)</f>
        <v>投影</v>
      </c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>IF(ISNUMBER(SEARCH("|"&amp;E15&amp;"|","|"&amp;VLOOKUP(D15,教师!$A$5:$G$10,5,FALSE)&amp;"|")),1,0)</f>
        <v>0</v>
      </c>
      <c r="O15" s="15">
        <f>IF(ISNUMBER(SEARCH("|"&amp;E15&amp;"|","|"&amp;VLOOKUP(F15,教室!$A$5:$F$10,5,FALSE)&amp;"|")),0,1)</f>
        <v>0</v>
      </c>
      <c r="P15" s="15">
        <f t="shared" si="3"/>
        <v>0</v>
      </c>
      <c r="Q15" s="15">
        <f t="shared" si="4"/>
        <v>0</v>
      </c>
      <c r="R15" s="15">
        <f t="shared" si="5"/>
        <v>0</v>
      </c>
      <c r="S15" s="15">
        <f>IF(ISNUMBER(SEARCH("|"&amp;E15&amp;"|","|"&amp;VLOOKUP(D15,教师!$A$5:$G$10,6,FALSE)&amp;"|")),1,0)</f>
        <v>1</v>
      </c>
      <c r="T15" s="15">
        <f>IF(COUNTIFS($E$5:E15,E15,$F$5:F15,F15)=1,1,0)</f>
        <v>1</v>
      </c>
      <c r="U15" s="3" t="s">
        <v>319</v>
      </c>
    </row>
    <row r="16" spans="1:21" ht="22" customHeight="1" x14ac:dyDescent="0.35">
      <c r="A16" s="3" t="s">
        <v>41</v>
      </c>
      <c r="B16" s="3" t="s">
        <v>235</v>
      </c>
      <c r="C16" s="12" t="str">
        <f>VLOOKUP(B16,课程需求!$A$5:$H$28,2,FALSE)</f>
        <v>B12</v>
      </c>
      <c r="D16" s="12" t="str">
        <f>VLOOKUP(B16,课程需求!$A$5:$H$28,3,FALSE)</f>
        <v>T06</v>
      </c>
      <c r="E16" s="3" t="s">
        <v>209</v>
      </c>
      <c r="F16" s="3" t="s">
        <v>187</v>
      </c>
      <c r="G16" s="12">
        <f>VLOOKUP(B16,课程需求!$A$5:$H$28,5,FALSE)</f>
        <v>30</v>
      </c>
      <c r="H16" s="12">
        <f>VLOOKUP(F16,教室!$A$5:$F$10,3,FALSE)</f>
        <v>70</v>
      </c>
      <c r="I16" s="12" t="str">
        <f>VLOOKUP(B16,课程需求!$A$5:$H$28,6,FALSE)</f>
        <v>电脑</v>
      </c>
      <c r="J16" s="12" t="str">
        <f>VLOOKUP(F16,教室!$A$5:$F$10,4,FALSE)</f>
        <v>投影|电脑</v>
      </c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>IF(ISNUMBER(SEARCH("|"&amp;E16&amp;"|","|"&amp;VLOOKUP(D16,教师!$A$5:$G$10,5,FALSE)&amp;"|")),1,0)</f>
        <v>0</v>
      </c>
      <c r="O16" s="15">
        <f>IF(ISNUMBER(SEARCH("|"&amp;E16&amp;"|","|"&amp;VLOOKUP(F16,教室!$A$5:$F$10,5,FALSE)&amp;"|")),0,1)</f>
        <v>0</v>
      </c>
      <c r="P16" s="15">
        <f t="shared" si="3"/>
        <v>0</v>
      </c>
      <c r="Q16" s="15">
        <f t="shared" si="4"/>
        <v>0</v>
      </c>
      <c r="R16" s="15">
        <f t="shared" si="5"/>
        <v>0</v>
      </c>
      <c r="S16" s="15">
        <f>IF(ISNUMBER(SEARCH("|"&amp;E16&amp;"|","|"&amp;VLOOKUP(D16,教师!$A$5:$G$10,6,FALSE)&amp;"|")),1,0)</f>
        <v>1</v>
      </c>
      <c r="T16" s="15">
        <f>IF(COUNTIFS($E$5:E16,E16,$F$5:F16,F16)=1,1,0)</f>
        <v>1</v>
      </c>
      <c r="U16" s="3" t="s">
        <v>319</v>
      </c>
    </row>
    <row r="17" spans="1:21" ht="22" customHeight="1" x14ac:dyDescent="0.35">
      <c r="A17" s="3" t="s">
        <v>41</v>
      </c>
      <c r="B17" s="3" t="s">
        <v>236</v>
      </c>
      <c r="C17" s="12" t="str">
        <f>VLOOKUP(B17,课程需求!$A$5:$H$28,2,FALSE)</f>
        <v>B01</v>
      </c>
      <c r="D17" s="12" t="str">
        <f>VLOOKUP(B17,课程需求!$A$5:$H$28,3,FALSE)</f>
        <v>T01</v>
      </c>
      <c r="E17" s="3" t="s">
        <v>210</v>
      </c>
      <c r="F17" s="3" t="s">
        <v>183</v>
      </c>
      <c r="G17" s="12">
        <f>VLOOKUP(B17,课程需求!$A$5:$H$28,5,FALSE)</f>
        <v>18</v>
      </c>
      <c r="H17" s="12">
        <f>VLOOKUP(F17,教室!$A$5:$F$10,3,FALSE)</f>
        <v>70</v>
      </c>
      <c r="I17" s="12" t="str">
        <f>VLOOKUP(B17,课程需求!$A$5:$H$28,6,FALSE)</f>
        <v>投影</v>
      </c>
      <c r="J17" s="12" t="str">
        <f>VLOOKUP(F17,教室!$A$5:$F$10,4,FALSE)</f>
        <v>投影</v>
      </c>
      <c r="K17" s="15">
        <f t="shared" si="0"/>
        <v>0</v>
      </c>
      <c r="L17" s="15">
        <f t="shared" si="1"/>
        <v>0</v>
      </c>
      <c r="M17" s="15">
        <f t="shared" si="2"/>
        <v>0</v>
      </c>
      <c r="N17" s="15">
        <f>IF(ISNUMBER(SEARCH("|"&amp;E17&amp;"|","|"&amp;VLOOKUP(D17,教师!$A$5:$G$10,5,FALSE)&amp;"|")),1,0)</f>
        <v>0</v>
      </c>
      <c r="O17" s="15">
        <f>IF(ISNUMBER(SEARCH("|"&amp;E17&amp;"|","|"&amp;VLOOKUP(F17,教室!$A$5:$F$10,5,FALSE)&amp;"|")),0,1)</f>
        <v>0</v>
      </c>
      <c r="P17" s="15">
        <f t="shared" si="3"/>
        <v>0</v>
      </c>
      <c r="Q17" s="15">
        <f t="shared" si="4"/>
        <v>0</v>
      </c>
      <c r="R17" s="15">
        <f t="shared" si="5"/>
        <v>0</v>
      </c>
      <c r="S17" s="15">
        <f>IF(ISNUMBER(SEARCH("|"&amp;E17&amp;"|","|"&amp;VLOOKUP(D17,教师!$A$5:$G$10,6,FALSE)&amp;"|")),1,0)</f>
        <v>1</v>
      </c>
      <c r="T17" s="15">
        <f>IF(COUNTIFS($E$5:E17,E17,$F$5:F17,F17)=1,1,0)</f>
        <v>1</v>
      </c>
      <c r="U17" s="3" t="s">
        <v>319</v>
      </c>
    </row>
    <row r="18" spans="1:21" ht="22" customHeight="1" x14ac:dyDescent="0.35">
      <c r="A18" s="3" t="s">
        <v>41</v>
      </c>
      <c r="B18" s="3" t="s">
        <v>237</v>
      </c>
      <c r="C18" s="12" t="str">
        <f>VLOOKUP(B18,课程需求!$A$5:$H$28,2,FALSE)</f>
        <v>B05</v>
      </c>
      <c r="D18" s="12" t="str">
        <f>VLOOKUP(B18,课程需求!$A$5:$H$28,3,FALSE)</f>
        <v>T05</v>
      </c>
      <c r="E18" s="3" t="s">
        <v>210</v>
      </c>
      <c r="F18" s="3" t="s">
        <v>185</v>
      </c>
      <c r="G18" s="12">
        <f>VLOOKUP(B18,课程需求!$A$5:$H$28,5,FALSE)</f>
        <v>40</v>
      </c>
      <c r="H18" s="12">
        <f>VLOOKUP(F18,教室!$A$5:$F$10,3,FALSE)</f>
        <v>70</v>
      </c>
      <c r="I18" s="12" t="str">
        <f>VLOOKUP(B18,课程需求!$A$5:$H$28,6,FALSE)</f>
        <v>投影</v>
      </c>
      <c r="J18" s="12" t="str">
        <f>VLOOKUP(F18,教室!$A$5:$F$10,4,FALSE)</f>
        <v>投影</v>
      </c>
      <c r="K18" s="15">
        <f t="shared" si="0"/>
        <v>0</v>
      </c>
      <c r="L18" s="15">
        <f t="shared" si="1"/>
        <v>0</v>
      </c>
      <c r="M18" s="15">
        <f t="shared" si="2"/>
        <v>0</v>
      </c>
      <c r="N18" s="15">
        <f>IF(ISNUMBER(SEARCH("|"&amp;E18&amp;"|","|"&amp;VLOOKUP(D18,教师!$A$5:$G$10,5,FALSE)&amp;"|")),1,0)</f>
        <v>0</v>
      </c>
      <c r="O18" s="15">
        <f>IF(ISNUMBER(SEARCH("|"&amp;E18&amp;"|","|"&amp;VLOOKUP(F18,教室!$A$5:$F$10,5,FALSE)&amp;"|")),0,1)</f>
        <v>0</v>
      </c>
      <c r="P18" s="15">
        <f t="shared" si="3"/>
        <v>0</v>
      </c>
      <c r="Q18" s="15">
        <f t="shared" si="4"/>
        <v>0</v>
      </c>
      <c r="R18" s="15">
        <f t="shared" si="5"/>
        <v>0</v>
      </c>
      <c r="S18" s="15">
        <f>IF(ISNUMBER(SEARCH("|"&amp;E18&amp;"|","|"&amp;VLOOKUP(D18,教师!$A$5:$G$10,6,FALSE)&amp;"|")),1,0)</f>
        <v>1</v>
      </c>
      <c r="T18" s="15">
        <f>IF(COUNTIFS($E$5:E18,E18,$F$5:F18,F18)=1,1,0)</f>
        <v>1</v>
      </c>
      <c r="U18" s="3" t="s">
        <v>319</v>
      </c>
    </row>
    <row r="19" spans="1:21" ht="22" customHeight="1" x14ac:dyDescent="0.35">
      <c r="A19" s="3" t="s">
        <v>41</v>
      </c>
      <c r="B19" s="3" t="s">
        <v>238</v>
      </c>
      <c r="C19" s="12" t="str">
        <f>VLOOKUP(B19,课程需求!$A$5:$H$28,2,FALSE)</f>
        <v>B09</v>
      </c>
      <c r="D19" s="12" t="str">
        <f>VLOOKUP(B19,课程需求!$A$5:$H$28,3,FALSE)</f>
        <v>T03</v>
      </c>
      <c r="E19" s="3" t="s">
        <v>210</v>
      </c>
      <c r="F19" s="3" t="s">
        <v>187</v>
      </c>
      <c r="G19" s="12">
        <f>VLOOKUP(B19,课程需求!$A$5:$H$28,5,FALSE)</f>
        <v>36</v>
      </c>
      <c r="H19" s="12">
        <f>VLOOKUP(F19,教室!$A$5:$F$10,3,FALSE)</f>
        <v>70</v>
      </c>
      <c r="I19" s="12" t="str">
        <f>VLOOKUP(B19,课程需求!$A$5:$H$28,6,FALSE)</f>
        <v>投影</v>
      </c>
      <c r="J19" s="12" t="str">
        <f>VLOOKUP(F19,教室!$A$5:$F$10,4,FALSE)</f>
        <v>投影|电脑</v>
      </c>
      <c r="K19" s="15">
        <f t="shared" si="0"/>
        <v>0</v>
      </c>
      <c r="L19" s="15">
        <f t="shared" si="1"/>
        <v>0</v>
      </c>
      <c r="M19" s="15">
        <f t="shared" si="2"/>
        <v>0</v>
      </c>
      <c r="N19" s="15">
        <f>IF(ISNUMBER(SEARCH("|"&amp;E19&amp;"|","|"&amp;VLOOKUP(D19,教师!$A$5:$G$10,5,FALSE)&amp;"|")),1,0)</f>
        <v>0</v>
      </c>
      <c r="O19" s="15">
        <f>IF(ISNUMBER(SEARCH("|"&amp;E19&amp;"|","|"&amp;VLOOKUP(F19,教室!$A$5:$F$10,5,FALSE)&amp;"|")),0,1)</f>
        <v>0</v>
      </c>
      <c r="P19" s="15">
        <f t="shared" si="3"/>
        <v>0</v>
      </c>
      <c r="Q19" s="15">
        <f t="shared" si="4"/>
        <v>0</v>
      </c>
      <c r="R19" s="15">
        <f t="shared" si="5"/>
        <v>0</v>
      </c>
      <c r="S19" s="15">
        <f>IF(ISNUMBER(SEARCH("|"&amp;E19&amp;"|","|"&amp;VLOOKUP(D19,教师!$A$5:$G$10,6,FALSE)&amp;"|")),1,0)</f>
        <v>1</v>
      </c>
      <c r="T19" s="15">
        <f>IF(COUNTIFS($E$5:E19,E19,$F$5:F19,F19)=1,1,0)</f>
        <v>1</v>
      </c>
      <c r="U19" s="3" t="s">
        <v>319</v>
      </c>
    </row>
    <row r="20" spans="1:21" ht="22" customHeight="1" x14ac:dyDescent="0.35">
      <c r="A20" s="3" t="s">
        <v>41</v>
      </c>
      <c r="B20" s="3" t="s">
        <v>239</v>
      </c>
      <c r="C20" s="12" t="str">
        <f>VLOOKUP(B20,课程需求!$A$5:$H$28,2,FALSE)</f>
        <v>B02</v>
      </c>
      <c r="D20" s="12" t="str">
        <f>VLOOKUP(B20,课程需求!$A$5:$H$28,3,FALSE)</f>
        <v>T02</v>
      </c>
      <c r="E20" s="3" t="s">
        <v>212</v>
      </c>
      <c r="F20" s="3" t="s">
        <v>183</v>
      </c>
      <c r="G20" s="12">
        <f>VLOOKUP(B20,课程需求!$A$5:$H$28,5,FALSE)</f>
        <v>22</v>
      </c>
      <c r="H20" s="12">
        <f>VLOOKUP(F20,教室!$A$5:$F$10,3,FALSE)</f>
        <v>70</v>
      </c>
      <c r="I20" s="12" t="str">
        <f>VLOOKUP(B20,课程需求!$A$5:$H$28,6,FALSE)</f>
        <v>投影</v>
      </c>
      <c r="J20" s="12" t="str">
        <f>VLOOKUP(F20,教室!$A$5:$F$10,4,FALSE)</f>
        <v>投影</v>
      </c>
      <c r="K20" s="15">
        <f t="shared" si="0"/>
        <v>0</v>
      </c>
      <c r="L20" s="15">
        <f t="shared" si="1"/>
        <v>0</v>
      </c>
      <c r="M20" s="15">
        <f t="shared" si="2"/>
        <v>0</v>
      </c>
      <c r="N20" s="15">
        <f>IF(ISNUMBER(SEARCH("|"&amp;E20&amp;"|","|"&amp;VLOOKUP(D20,教师!$A$5:$G$10,5,FALSE)&amp;"|")),1,0)</f>
        <v>0</v>
      </c>
      <c r="O20" s="15">
        <f>IF(ISNUMBER(SEARCH("|"&amp;E20&amp;"|","|"&amp;VLOOKUP(F20,教室!$A$5:$F$10,5,FALSE)&amp;"|")),0,1)</f>
        <v>0</v>
      </c>
      <c r="P20" s="15">
        <f t="shared" si="3"/>
        <v>0</v>
      </c>
      <c r="Q20" s="15">
        <f t="shared" si="4"/>
        <v>0</v>
      </c>
      <c r="R20" s="15">
        <f t="shared" si="5"/>
        <v>0</v>
      </c>
      <c r="S20" s="15">
        <f>IF(ISNUMBER(SEARCH("|"&amp;E20&amp;"|","|"&amp;VLOOKUP(D20,教师!$A$5:$G$10,6,FALSE)&amp;"|")),1,0)</f>
        <v>1</v>
      </c>
      <c r="T20" s="15">
        <f>IF(COUNTIFS($E$5:E20,E20,$F$5:F20,F20)=1,1,0)</f>
        <v>1</v>
      </c>
      <c r="U20" s="3" t="s">
        <v>319</v>
      </c>
    </row>
    <row r="21" spans="1:21" ht="22" customHeight="1" x14ac:dyDescent="0.35">
      <c r="A21" s="3" t="s">
        <v>41</v>
      </c>
      <c r="B21" s="3" t="s">
        <v>240</v>
      </c>
      <c r="C21" s="12" t="str">
        <f>VLOOKUP(B21,课程需求!$A$5:$H$28,2,FALSE)</f>
        <v>B10</v>
      </c>
      <c r="D21" s="12" t="str">
        <f>VLOOKUP(B21,课程需求!$A$5:$H$28,3,FALSE)</f>
        <v>T04</v>
      </c>
      <c r="E21" s="3" t="s">
        <v>212</v>
      </c>
      <c r="F21" s="3" t="s">
        <v>185</v>
      </c>
      <c r="G21" s="12">
        <f>VLOOKUP(B21,课程需求!$A$5:$H$28,5,FALSE)</f>
        <v>16</v>
      </c>
      <c r="H21" s="12">
        <f>VLOOKUP(F21,教室!$A$5:$F$10,3,FALSE)</f>
        <v>70</v>
      </c>
      <c r="I21" s="12" t="str">
        <f>VLOOKUP(B21,课程需求!$A$5:$H$28,6,FALSE)</f>
        <v>投影</v>
      </c>
      <c r="J21" s="12" t="str">
        <f>VLOOKUP(F21,教室!$A$5:$F$10,4,FALSE)</f>
        <v>投影</v>
      </c>
      <c r="K21" s="15">
        <f t="shared" si="0"/>
        <v>0</v>
      </c>
      <c r="L21" s="15">
        <f t="shared" si="1"/>
        <v>0</v>
      </c>
      <c r="M21" s="15">
        <f t="shared" si="2"/>
        <v>0</v>
      </c>
      <c r="N21" s="15">
        <f>IF(ISNUMBER(SEARCH("|"&amp;E21&amp;"|","|"&amp;VLOOKUP(D21,教师!$A$5:$G$10,5,FALSE)&amp;"|")),1,0)</f>
        <v>0</v>
      </c>
      <c r="O21" s="15">
        <f>IF(ISNUMBER(SEARCH("|"&amp;E21&amp;"|","|"&amp;VLOOKUP(F21,教室!$A$5:$F$10,5,FALSE)&amp;"|")),0,1)</f>
        <v>0</v>
      </c>
      <c r="P21" s="15">
        <f t="shared" si="3"/>
        <v>0</v>
      </c>
      <c r="Q21" s="15">
        <f t="shared" si="4"/>
        <v>0</v>
      </c>
      <c r="R21" s="15">
        <f t="shared" si="5"/>
        <v>0</v>
      </c>
      <c r="S21" s="15">
        <f>IF(ISNUMBER(SEARCH("|"&amp;E21&amp;"|","|"&amp;VLOOKUP(D21,教师!$A$5:$G$10,6,FALSE)&amp;"|")),1,0)</f>
        <v>1</v>
      </c>
      <c r="T21" s="15">
        <f>IF(COUNTIFS($E$5:E21,E21,$F$5:F21,F21)=1,1,0)</f>
        <v>1</v>
      </c>
      <c r="U21" s="3" t="s">
        <v>319</v>
      </c>
    </row>
    <row r="22" spans="1:21" ht="22" customHeight="1" x14ac:dyDescent="0.35">
      <c r="A22" s="3" t="s">
        <v>41</v>
      </c>
      <c r="B22" s="3" t="s">
        <v>241</v>
      </c>
      <c r="C22" s="12" t="str">
        <f>VLOOKUP(B22,课程需求!$A$5:$H$28,2,FALSE)</f>
        <v>B06</v>
      </c>
      <c r="D22" s="12" t="str">
        <f>VLOOKUP(B22,课程需求!$A$5:$H$28,3,FALSE)</f>
        <v>T06</v>
      </c>
      <c r="E22" s="3" t="s">
        <v>212</v>
      </c>
      <c r="F22" s="3" t="s">
        <v>187</v>
      </c>
      <c r="G22" s="12">
        <f>VLOOKUP(B22,课程需求!$A$5:$H$28,5,FALSE)</f>
        <v>48</v>
      </c>
      <c r="H22" s="12">
        <f>VLOOKUP(F22,教室!$A$5:$F$10,3,FALSE)</f>
        <v>70</v>
      </c>
      <c r="I22" s="12" t="str">
        <f>VLOOKUP(B22,课程需求!$A$5:$H$28,6,FALSE)</f>
        <v>电脑</v>
      </c>
      <c r="J22" s="12" t="str">
        <f>VLOOKUP(F22,教室!$A$5:$F$10,4,FALSE)</f>
        <v>投影|电脑</v>
      </c>
      <c r="K22" s="15">
        <f t="shared" si="0"/>
        <v>0</v>
      </c>
      <c r="L22" s="15">
        <f t="shared" si="1"/>
        <v>0</v>
      </c>
      <c r="M22" s="15">
        <f t="shared" si="2"/>
        <v>0</v>
      </c>
      <c r="N22" s="15">
        <f>IF(ISNUMBER(SEARCH("|"&amp;E22&amp;"|","|"&amp;VLOOKUP(D22,教师!$A$5:$G$10,5,FALSE)&amp;"|")),1,0)</f>
        <v>0</v>
      </c>
      <c r="O22" s="15">
        <f>IF(ISNUMBER(SEARCH("|"&amp;E22&amp;"|","|"&amp;VLOOKUP(F22,教室!$A$5:$F$10,5,FALSE)&amp;"|")),0,1)</f>
        <v>0</v>
      </c>
      <c r="P22" s="15">
        <f t="shared" si="3"/>
        <v>0</v>
      </c>
      <c r="Q22" s="15">
        <f t="shared" si="4"/>
        <v>0</v>
      </c>
      <c r="R22" s="15">
        <f t="shared" si="5"/>
        <v>0</v>
      </c>
      <c r="S22" s="15">
        <f>IF(ISNUMBER(SEARCH("|"&amp;E22&amp;"|","|"&amp;VLOOKUP(D22,教师!$A$5:$G$10,6,FALSE)&amp;"|")),1,0)</f>
        <v>1</v>
      </c>
      <c r="T22" s="15">
        <f>IF(COUNTIFS($E$5:E22,E22,$F$5:F22,F22)=1,1,0)</f>
        <v>1</v>
      </c>
      <c r="U22" s="3" t="s">
        <v>319</v>
      </c>
    </row>
    <row r="23" spans="1:21" ht="22" customHeight="1" x14ac:dyDescent="0.35">
      <c r="A23" s="3" t="s">
        <v>41</v>
      </c>
      <c r="B23" s="3" t="s">
        <v>242</v>
      </c>
      <c r="C23" s="12" t="str">
        <f>VLOOKUP(B23,课程需求!$A$5:$H$28,2,FALSE)</f>
        <v>B03</v>
      </c>
      <c r="D23" s="12" t="str">
        <f>VLOOKUP(B23,课程需求!$A$5:$H$28,3,FALSE)</f>
        <v>T03</v>
      </c>
      <c r="E23" s="3" t="s">
        <v>213</v>
      </c>
      <c r="F23" s="3" t="s">
        <v>183</v>
      </c>
      <c r="G23" s="12">
        <f>VLOOKUP(B23,课程需求!$A$5:$H$28,5,FALSE)</f>
        <v>28</v>
      </c>
      <c r="H23" s="12">
        <f>VLOOKUP(F23,教室!$A$5:$F$10,3,FALSE)</f>
        <v>70</v>
      </c>
      <c r="I23" s="12" t="str">
        <f>VLOOKUP(B23,课程需求!$A$5:$H$28,6,FALSE)</f>
        <v>投影</v>
      </c>
      <c r="J23" s="12" t="str">
        <f>VLOOKUP(F23,教室!$A$5:$F$10,4,FALSE)</f>
        <v>投影</v>
      </c>
      <c r="K23" s="15">
        <f t="shared" si="0"/>
        <v>0</v>
      </c>
      <c r="L23" s="15">
        <f t="shared" si="1"/>
        <v>0</v>
      </c>
      <c r="M23" s="15">
        <f t="shared" si="2"/>
        <v>0</v>
      </c>
      <c r="N23" s="15">
        <f>IF(ISNUMBER(SEARCH("|"&amp;E23&amp;"|","|"&amp;VLOOKUP(D23,教师!$A$5:$G$10,5,FALSE)&amp;"|")),1,0)</f>
        <v>0</v>
      </c>
      <c r="O23" s="15">
        <f>IF(ISNUMBER(SEARCH("|"&amp;E23&amp;"|","|"&amp;VLOOKUP(F23,教室!$A$5:$F$10,5,FALSE)&amp;"|")),0,1)</f>
        <v>0</v>
      </c>
      <c r="P23" s="15">
        <f t="shared" si="3"/>
        <v>0</v>
      </c>
      <c r="Q23" s="15">
        <f t="shared" si="4"/>
        <v>0</v>
      </c>
      <c r="R23" s="15">
        <f t="shared" si="5"/>
        <v>0</v>
      </c>
      <c r="S23" s="15">
        <f>IF(ISNUMBER(SEARCH("|"&amp;E23&amp;"|","|"&amp;VLOOKUP(D23,教师!$A$5:$G$10,6,FALSE)&amp;"|")),1,0)</f>
        <v>1</v>
      </c>
      <c r="T23" s="15">
        <f>IF(COUNTIFS($E$5:E23,E23,$F$5:F23,F23)=1,1,0)</f>
        <v>1</v>
      </c>
      <c r="U23" s="3" t="s">
        <v>319</v>
      </c>
    </row>
    <row r="24" spans="1:21" ht="22" customHeight="1" x14ac:dyDescent="0.35">
      <c r="A24" s="3" t="s">
        <v>41</v>
      </c>
      <c r="B24" s="3" t="s">
        <v>243</v>
      </c>
      <c r="C24" s="12" t="str">
        <f>VLOOKUP(B24,课程需求!$A$5:$H$28,2,FALSE)</f>
        <v>B07</v>
      </c>
      <c r="D24" s="12" t="str">
        <f>VLOOKUP(B24,课程需求!$A$5:$H$28,3,FALSE)</f>
        <v>T01</v>
      </c>
      <c r="E24" s="3" t="s">
        <v>213</v>
      </c>
      <c r="F24" s="3" t="s">
        <v>185</v>
      </c>
      <c r="G24" s="12">
        <f>VLOOKUP(B24,课程需求!$A$5:$H$28,5,FALSE)</f>
        <v>20</v>
      </c>
      <c r="H24" s="12">
        <f>VLOOKUP(F24,教室!$A$5:$F$10,3,FALSE)</f>
        <v>70</v>
      </c>
      <c r="I24" s="12" t="str">
        <f>VLOOKUP(B24,课程需求!$A$5:$H$28,6,FALSE)</f>
        <v>投影</v>
      </c>
      <c r="J24" s="12" t="str">
        <f>VLOOKUP(F24,教室!$A$5:$F$10,4,FALSE)</f>
        <v>投影</v>
      </c>
      <c r="K24" s="15">
        <f t="shared" si="0"/>
        <v>0</v>
      </c>
      <c r="L24" s="15">
        <f t="shared" si="1"/>
        <v>0</v>
      </c>
      <c r="M24" s="15">
        <f t="shared" si="2"/>
        <v>0</v>
      </c>
      <c r="N24" s="15">
        <f>IF(ISNUMBER(SEARCH("|"&amp;E24&amp;"|","|"&amp;VLOOKUP(D24,教师!$A$5:$G$10,5,FALSE)&amp;"|")),1,0)</f>
        <v>0</v>
      </c>
      <c r="O24" s="15">
        <f>IF(ISNUMBER(SEARCH("|"&amp;E24&amp;"|","|"&amp;VLOOKUP(F24,教室!$A$5:$F$10,5,FALSE)&amp;"|")),0,1)</f>
        <v>0</v>
      </c>
      <c r="P24" s="15">
        <f t="shared" si="3"/>
        <v>0</v>
      </c>
      <c r="Q24" s="15">
        <f t="shared" si="4"/>
        <v>0</v>
      </c>
      <c r="R24" s="15">
        <f t="shared" si="5"/>
        <v>0</v>
      </c>
      <c r="S24" s="15">
        <f>IF(ISNUMBER(SEARCH("|"&amp;E24&amp;"|","|"&amp;VLOOKUP(D24,教师!$A$5:$G$10,6,FALSE)&amp;"|")),1,0)</f>
        <v>1</v>
      </c>
      <c r="T24" s="15">
        <f>IF(COUNTIFS($E$5:E24,E24,$F$5:F24,F24)=1,1,0)</f>
        <v>1</v>
      </c>
      <c r="U24" s="3" t="s">
        <v>319</v>
      </c>
    </row>
    <row r="25" spans="1:21" ht="22" customHeight="1" x14ac:dyDescent="0.35">
      <c r="A25" s="3" t="s">
        <v>41</v>
      </c>
      <c r="B25" s="3" t="s">
        <v>244</v>
      </c>
      <c r="C25" s="12" t="str">
        <f>VLOOKUP(B25,课程需求!$A$5:$H$28,2,FALSE)</f>
        <v>B11</v>
      </c>
      <c r="D25" s="12" t="str">
        <f>VLOOKUP(B25,课程需求!$A$5:$H$28,3,FALSE)</f>
        <v>T05</v>
      </c>
      <c r="E25" s="3" t="s">
        <v>213</v>
      </c>
      <c r="F25" s="3" t="s">
        <v>187</v>
      </c>
      <c r="G25" s="12">
        <f>VLOOKUP(B25,课程需求!$A$5:$H$28,5,FALSE)</f>
        <v>24</v>
      </c>
      <c r="H25" s="12">
        <f>VLOOKUP(F25,教室!$A$5:$F$10,3,FALSE)</f>
        <v>70</v>
      </c>
      <c r="I25" s="12" t="str">
        <f>VLOOKUP(B25,课程需求!$A$5:$H$28,6,FALSE)</f>
        <v>投影</v>
      </c>
      <c r="J25" s="12" t="str">
        <f>VLOOKUP(F25,教室!$A$5:$F$10,4,FALSE)</f>
        <v>投影|电脑</v>
      </c>
      <c r="K25" s="15">
        <f t="shared" si="0"/>
        <v>0</v>
      </c>
      <c r="L25" s="15">
        <f t="shared" si="1"/>
        <v>0</v>
      </c>
      <c r="M25" s="15">
        <f t="shared" si="2"/>
        <v>0</v>
      </c>
      <c r="N25" s="15">
        <f>IF(ISNUMBER(SEARCH("|"&amp;E25&amp;"|","|"&amp;VLOOKUP(D25,教师!$A$5:$G$10,5,FALSE)&amp;"|")),1,0)</f>
        <v>0</v>
      </c>
      <c r="O25" s="15">
        <f>IF(ISNUMBER(SEARCH("|"&amp;E25&amp;"|","|"&amp;VLOOKUP(F25,教室!$A$5:$F$10,5,FALSE)&amp;"|")),0,1)</f>
        <v>0</v>
      </c>
      <c r="P25" s="15">
        <f t="shared" si="3"/>
        <v>0</v>
      </c>
      <c r="Q25" s="15">
        <f t="shared" si="4"/>
        <v>0</v>
      </c>
      <c r="R25" s="15">
        <f t="shared" si="5"/>
        <v>0</v>
      </c>
      <c r="S25" s="15">
        <f>IF(ISNUMBER(SEARCH("|"&amp;E25&amp;"|","|"&amp;VLOOKUP(D25,教师!$A$5:$G$10,6,FALSE)&amp;"|")),1,0)</f>
        <v>1</v>
      </c>
      <c r="T25" s="15">
        <f>IF(COUNTIFS($E$5:E25,E25,$F$5:F25,F25)=1,1,0)</f>
        <v>1</v>
      </c>
      <c r="U25" s="3" t="s">
        <v>319</v>
      </c>
    </row>
    <row r="26" spans="1:21" ht="22" customHeight="1" x14ac:dyDescent="0.35">
      <c r="A26" s="3" t="s">
        <v>41</v>
      </c>
      <c r="B26" s="3" t="s">
        <v>245</v>
      </c>
      <c r="C26" s="12" t="str">
        <f>VLOOKUP(B26,课程需求!$A$5:$H$28,2,FALSE)</f>
        <v>B04</v>
      </c>
      <c r="D26" s="12" t="str">
        <f>VLOOKUP(B26,课程需求!$A$5:$H$28,3,FALSE)</f>
        <v>T04</v>
      </c>
      <c r="E26" s="3" t="s">
        <v>215</v>
      </c>
      <c r="F26" s="3" t="s">
        <v>183</v>
      </c>
      <c r="G26" s="12">
        <f>VLOOKUP(B26,课程需求!$A$5:$H$28,5,FALSE)</f>
        <v>32</v>
      </c>
      <c r="H26" s="12">
        <f>VLOOKUP(F26,教室!$A$5:$F$10,3,FALSE)</f>
        <v>70</v>
      </c>
      <c r="I26" s="12" t="str">
        <f>VLOOKUP(B26,课程需求!$A$5:$H$28,6,FALSE)</f>
        <v>投影</v>
      </c>
      <c r="J26" s="12" t="str">
        <f>VLOOKUP(F26,教室!$A$5:$F$10,4,FALSE)</f>
        <v>投影</v>
      </c>
      <c r="K26" s="15">
        <f t="shared" si="0"/>
        <v>0</v>
      </c>
      <c r="L26" s="15">
        <f t="shared" si="1"/>
        <v>0</v>
      </c>
      <c r="M26" s="15">
        <f t="shared" si="2"/>
        <v>0</v>
      </c>
      <c r="N26" s="15">
        <f>IF(ISNUMBER(SEARCH("|"&amp;E26&amp;"|","|"&amp;VLOOKUP(D26,教师!$A$5:$G$10,5,FALSE)&amp;"|")),1,0)</f>
        <v>0</v>
      </c>
      <c r="O26" s="15">
        <f>IF(ISNUMBER(SEARCH("|"&amp;E26&amp;"|","|"&amp;VLOOKUP(F26,教室!$A$5:$F$10,5,FALSE)&amp;"|")),0,1)</f>
        <v>0</v>
      </c>
      <c r="P26" s="15">
        <f t="shared" si="3"/>
        <v>0</v>
      </c>
      <c r="Q26" s="15">
        <f t="shared" si="4"/>
        <v>0</v>
      </c>
      <c r="R26" s="15">
        <f t="shared" si="5"/>
        <v>0</v>
      </c>
      <c r="S26" s="15">
        <f>IF(ISNUMBER(SEARCH("|"&amp;E26&amp;"|","|"&amp;VLOOKUP(D26,教师!$A$5:$G$10,6,FALSE)&amp;"|")),1,0)</f>
        <v>1</v>
      </c>
      <c r="T26" s="15">
        <f>IF(COUNTIFS($E$5:E26,E26,$F$5:F26,F26)=1,1,0)</f>
        <v>1</v>
      </c>
      <c r="U26" s="3" t="s">
        <v>319</v>
      </c>
    </row>
    <row r="27" spans="1:21" ht="22" customHeight="1" x14ac:dyDescent="0.35">
      <c r="A27" s="3" t="s">
        <v>41</v>
      </c>
      <c r="B27" s="3" t="s">
        <v>246</v>
      </c>
      <c r="C27" s="12" t="str">
        <f>VLOOKUP(B27,课程需求!$A$5:$H$28,2,FALSE)</f>
        <v>B08</v>
      </c>
      <c r="D27" s="12" t="str">
        <f>VLOOKUP(B27,课程需求!$A$5:$H$28,3,FALSE)</f>
        <v>T02</v>
      </c>
      <c r="E27" s="3" t="s">
        <v>215</v>
      </c>
      <c r="F27" s="3" t="s">
        <v>185</v>
      </c>
      <c r="G27" s="12">
        <f>VLOOKUP(B27,课程需求!$A$5:$H$28,5,FALSE)</f>
        <v>26</v>
      </c>
      <c r="H27" s="12">
        <f>VLOOKUP(F27,教室!$A$5:$F$10,3,FALSE)</f>
        <v>70</v>
      </c>
      <c r="I27" s="12" t="str">
        <f>VLOOKUP(B27,课程需求!$A$5:$H$28,6,FALSE)</f>
        <v>投影</v>
      </c>
      <c r="J27" s="12" t="str">
        <f>VLOOKUP(F27,教室!$A$5:$F$10,4,FALSE)</f>
        <v>投影</v>
      </c>
      <c r="K27" s="15">
        <f t="shared" si="0"/>
        <v>0</v>
      </c>
      <c r="L27" s="15">
        <f t="shared" si="1"/>
        <v>0</v>
      </c>
      <c r="M27" s="15">
        <f t="shared" si="2"/>
        <v>0</v>
      </c>
      <c r="N27" s="15">
        <f>IF(ISNUMBER(SEARCH("|"&amp;E27&amp;"|","|"&amp;VLOOKUP(D27,教师!$A$5:$G$10,5,FALSE)&amp;"|")),1,0)</f>
        <v>0</v>
      </c>
      <c r="O27" s="15">
        <f>IF(ISNUMBER(SEARCH("|"&amp;E27&amp;"|","|"&amp;VLOOKUP(F27,教室!$A$5:$F$10,5,FALSE)&amp;"|")),0,1)</f>
        <v>0</v>
      </c>
      <c r="P27" s="15">
        <f t="shared" si="3"/>
        <v>0</v>
      </c>
      <c r="Q27" s="15">
        <f t="shared" si="4"/>
        <v>0</v>
      </c>
      <c r="R27" s="15">
        <f t="shared" si="5"/>
        <v>0</v>
      </c>
      <c r="S27" s="15">
        <f>IF(ISNUMBER(SEARCH("|"&amp;E27&amp;"|","|"&amp;VLOOKUP(D27,教师!$A$5:$G$10,6,FALSE)&amp;"|")),1,0)</f>
        <v>1</v>
      </c>
      <c r="T27" s="15">
        <f>IF(COUNTIFS($E$5:E27,E27,$F$5:F27,F27)=1,1,0)</f>
        <v>1</v>
      </c>
      <c r="U27" s="3" t="s">
        <v>319</v>
      </c>
    </row>
    <row r="28" spans="1:21" ht="22" customHeight="1" x14ac:dyDescent="0.35">
      <c r="A28" s="4" t="s">
        <v>41</v>
      </c>
      <c r="B28" s="4" t="s">
        <v>247</v>
      </c>
      <c r="C28" s="13" t="str">
        <f>VLOOKUP(B28,课程需求!$A$5:$H$28,2,FALSE)</f>
        <v>B12</v>
      </c>
      <c r="D28" s="13" t="str">
        <f>VLOOKUP(B28,课程需求!$A$5:$H$28,3,FALSE)</f>
        <v>T06</v>
      </c>
      <c r="E28" s="4" t="s">
        <v>215</v>
      </c>
      <c r="F28" s="4" t="s">
        <v>187</v>
      </c>
      <c r="G28" s="13">
        <f>VLOOKUP(B28,课程需求!$A$5:$H$28,5,FALSE)</f>
        <v>30</v>
      </c>
      <c r="H28" s="13">
        <f>VLOOKUP(F28,教室!$A$5:$F$10,3,FALSE)</f>
        <v>70</v>
      </c>
      <c r="I28" s="13" t="str">
        <f>VLOOKUP(B28,课程需求!$A$5:$H$28,6,FALSE)</f>
        <v>电脑</v>
      </c>
      <c r="J28" s="13" t="str">
        <f>VLOOKUP(F28,教室!$A$5:$F$10,4,FALSE)</f>
        <v>投影|电脑</v>
      </c>
      <c r="K28" s="16">
        <f t="shared" si="0"/>
        <v>0</v>
      </c>
      <c r="L28" s="16">
        <f t="shared" si="1"/>
        <v>0</v>
      </c>
      <c r="M28" s="16">
        <f t="shared" si="2"/>
        <v>0</v>
      </c>
      <c r="N28" s="16">
        <f>IF(ISNUMBER(SEARCH("|"&amp;E28&amp;"|","|"&amp;VLOOKUP(D28,教师!$A$5:$G$10,5,FALSE)&amp;"|")),1,0)</f>
        <v>0</v>
      </c>
      <c r="O28" s="16">
        <f>IF(ISNUMBER(SEARCH("|"&amp;E28&amp;"|","|"&amp;VLOOKUP(F28,教室!$A$5:$F$10,5,FALSE)&amp;"|")),0,1)</f>
        <v>0</v>
      </c>
      <c r="P28" s="16">
        <f t="shared" si="3"/>
        <v>0</v>
      </c>
      <c r="Q28" s="16">
        <f t="shared" si="4"/>
        <v>0</v>
      </c>
      <c r="R28" s="16">
        <f t="shared" si="5"/>
        <v>0</v>
      </c>
      <c r="S28" s="16">
        <f>IF(ISNUMBER(SEARCH("|"&amp;E28&amp;"|","|"&amp;VLOOKUP(D28,教师!$A$5:$G$10,6,FALSE)&amp;"|")),1,0)</f>
        <v>1</v>
      </c>
      <c r="T28" s="16">
        <f>IF(COUNTIFS($E$5:E28,E28,$F$5:F28,F28)=1,1,0)</f>
        <v>1</v>
      </c>
      <c r="U28" s="4" t="s">
        <v>319</v>
      </c>
    </row>
  </sheetData>
  <mergeCells count="2">
    <mergeCell ref="A1:U1"/>
    <mergeCell ref="A2:U2"/>
  </mergeCells>
  <phoneticPr fontId="8" type="noConversion"/>
  <conditionalFormatting sqref="R5:R28">
    <cfRule type="cellIs" dxfId="5" priority="1" operator="equal">
      <formula>1</formula>
    </cfRule>
  </conditionalFormatting>
  <conditionalFormatting sqref="S5:S28">
    <cfRule type="cellIs" dxfId="4" priority="2" operator="equal">
      <formula>1</formula>
    </cfRule>
    <cfRule type="cellIs" dxfId="3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28"/>
  <sheetViews>
    <sheetView showGridLines="0" workbookViewId="0">
      <selection sqref="A1:U1"/>
    </sheetView>
  </sheetViews>
  <sheetFormatPr defaultRowHeight="14.5" x14ac:dyDescent="0.35"/>
  <cols>
    <col min="1" max="1" width="12" customWidth="1"/>
    <col min="2" max="6" width="11" customWidth="1"/>
    <col min="7" max="10" width="12" customWidth="1"/>
    <col min="11" max="20" width="11" customWidth="1"/>
    <col min="21" max="21" width="18" customWidth="1"/>
  </cols>
  <sheetData>
    <row r="1" spans="1:21" ht="34" customHeight="1" x14ac:dyDescent="0.35">
      <c r="A1" s="24" t="s">
        <v>320</v>
      </c>
      <c r="B1" s="24" t="s">
        <v>320</v>
      </c>
      <c r="C1" s="24" t="s">
        <v>320</v>
      </c>
      <c r="D1" s="24" t="s">
        <v>320</v>
      </c>
      <c r="E1" s="24" t="s">
        <v>320</v>
      </c>
      <c r="F1" s="24" t="s">
        <v>320</v>
      </c>
      <c r="G1" s="24" t="s">
        <v>320</v>
      </c>
      <c r="H1" s="24" t="s">
        <v>320</v>
      </c>
      <c r="I1" s="24" t="s">
        <v>320</v>
      </c>
      <c r="J1" s="24" t="s">
        <v>320</v>
      </c>
      <c r="K1" s="24" t="s">
        <v>320</v>
      </c>
      <c r="L1" s="24" t="s">
        <v>320</v>
      </c>
      <c r="M1" s="24" t="s">
        <v>320</v>
      </c>
      <c r="N1" s="24" t="s">
        <v>320</v>
      </c>
      <c r="O1" s="24" t="s">
        <v>320</v>
      </c>
      <c r="P1" s="24" t="s">
        <v>320</v>
      </c>
      <c r="Q1" s="24" t="s">
        <v>320</v>
      </c>
      <c r="R1" s="24" t="s">
        <v>320</v>
      </c>
      <c r="S1" s="24" t="s">
        <v>320</v>
      </c>
      <c r="T1" s="24" t="s">
        <v>320</v>
      </c>
      <c r="U1" s="24" t="s">
        <v>320</v>
      </c>
    </row>
    <row r="2" spans="1:21" ht="30" customHeight="1" x14ac:dyDescent="0.35">
      <c r="A2" s="25" t="s">
        <v>303</v>
      </c>
      <c r="B2" s="25" t="s">
        <v>303</v>
      </c>
      <c r="C2" s="25" t="s">
        <v>303</v>
      </c>
      <c r="D2" s="25" t="s">
        <v>303</v>
      </c>
      <c r="E2" s="25" t="s">
        <v>303</v>
      </c>
      <c r="F2" s="25" t="s">
        <v>303</v>
      </c>
      <c r="G2" s="25" t="s">
        <v>303</v>
      </c>
      <c r="H2" s="25" t="s">
        <v>303</v>
      </c>
      <c r="I2" s="25" t="s">
        <v>303</v>
      </c>
      <c r="J2" s="25" t="s">
        <v>303</v>
      </c>
      <c r="K2" s="25" t="s">
        <v>303</v>
      </c>
      <c r="L2" s="25" t="s">
        <v>303</v>
      </c>
      <c r="M2" s="25" t="s">
        <v>303</v>
      </c>
      <c r="N2" s="25" t="s">
        <v>303</v>
      </c>
      <c r="O2" s="25" t="s">
        <v>303</v>
      </c>
      <c r="P2" s="25" t="s">
        <v>303</v>
      </c>
      <c r="Q2" s="25" t="s">
        <v>303</v>
      </c>
      <c r="R2" s="25" t="s">
        <v>303</v>
      </c>
      <c r="S2" s="25" t="s">
        <v>303</v>
      </c>
      <c r="T2" s="25" t="s">
        <v>303</v>
      </c>
      <c r="U2" s="25" t="s">
        <v>303</v>
      </c>
    </row>
    <row r="3" spans="1:21" x14ac:dyDescent="0.3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1" ht="28" customHeight="1" x14ac:dyDescent="0.35">
      <c r="A4" s="1" t="s">
        <v>304</v>
      </c>
      <c r="B4" s="1" t="s">
        <v>221</v>
      </c>
      <c r="C4" s="1" t="s">
        <v>127</v>
      </c>
      <c r="D4" s="1" t="s">
        <v>92</v>
      </c>
      <c r="E4" s="1" t="s">
        <v>191</v>
      </c>
      <c r="F4" s="1" t="s">
        <v>168</v>
      </c>
      <c r="G4" s="1" t="s">
        <v>130</v>
      </c>
      <c r="H4" s="1" t="s">
        <v>305</v>
      </c>
      <c r="I4" s="1" t="s">
        <v>306</v>
      </c>
      <c r="J4" s="1" t="s">
        <v>307</v>
      </c>
      <c r="K4" s="1" t="s">
        <v>308</v>
      </c>
      <c r="L4" s="1" t="s">
        <v>309</v>
      </c>
      <c r="M4" s="1" t="s">
        <v>310</v>
      </c>
      <c r="N4" s="1" t="s">
        <v>311</v>
      </c>
      <c r="O4" s="1" t="s">
        <v>312</v>
      </c>
      <c r="P4" s="1" t="s">
        <v>313</v>
      </c>
      <c r="Q4" s="1" t="s">
        <v>314</v>
      </c>
      <c r="R4" s="1" t="s">
        <v>315</v>
      </c>
      <c r="S4" s="1" t="s">
        <v>316</v>
      </c>
      <c r="T4" s="1" t="s">
        <v>317</v>
      </c>
      <c r="U4" s="1" t="s">
        <v>318</v>
      </c>
    </row>
    <row r="5" spans="1:21" ht="22" customHeight="1" x14ac:dyDescent="0.35">
      <c r="A5" s="2" t="s">
        <v>42</v>
      </c>
      <c r="B5" s="2" t="s">
        <v>224</v>
      </c>
      <c r="C5" s="11" t="str">
        <f>VLOOKUP(B5,课程需求!$A$5:$H$28,2,FALSE)</f>
        <v>B01</v>
      </c>
      <c r="D5" s="11" t="str">
        <f>VLOOKUP(B5,课程需求!$A$5:$H$28,3,FALSE)</f>
        <v>T01</v>
      </c>
      <c r="E5" s="2" t="s">
        <v>197</v>
      </c>
      <c r="F5" s="2" t="s">
        <v>174</v>
      </c>
      <c r="G5" s="11">
        <f>VLOOKUP(B5,课程需求!$A$5:$H$28,5,FALSE)</f>
        <v>18</v>
      </c>
      <c r="H5" s="11">
        <f>VLOOKUP(F5,教室!$A$5:$F$10,3,FALSE)</f>
        <v>40</v>
      </c>
      <c r="I5" s="11" t="str">
        <f>VLOOKUP(B5,课程需求!$A$5:$H$28,6,FALSE)</f>
        <v>投影</v>
      </c>
      <c r="J5" s="11" t="str">
        <f>VLOOKUP(F5,教室!$A$5:$F$10,4,FALSE)</f>
        <v>投影</v>
      </c>
      <c r="K5" s="14">
        <f t="shared" ref="K5:K28" si="0">IF(COUNTIFS($D$5:$D$28,D5,$E$5:$E$28,E5)&gt;1,1,0)</f>
        <v>0</v>
      </c>
      <c r="L5" s="14">
        <f t="shared" ref="L5:L28" si="1">IF(COUNTIFS($C$5:$C$28,C5,$E$5:$E$28,E5)&gt;1,1,0)</f>
        <v>0</v>
      </c>
      <c r="M5" s="14">
        <f t="shared" ref="M5:M28" si="2">IF(COUNTIFS($F$5:$F$28,F5,$E$5:$E$28,E5)&gt;1,1,0)</f>
        <v>0</v>
      </c>
      <c r="N5" s="14">
        <f>IF(ISNUMBER(SEARCH("|"&amp;E5&amp;"|","|"&amp;VLOOKUP(D5,教师!$A$5:$G$10,5,FALSE)&amp;"|")),1,0)</f>
        <v>0</v>
      </c>
      <c r="O5" s="14">
        <f>IF(ISNUMBER(SEARCH("|"&amp;E5&amp;"|","|"&amp;VLOOKUP(F5,教室!$A$5:$F$10,5,FALSE)&amp;"|")),0,1)</f>
        <v>0</v>
      </c>
      <c r="P5" s="14">
        <f t="shared" ref="P5:P28" si="3">IF(G5&gt;H5,1,0)</f>
        <v>0</v>
      </c>
      <c r="Q5" s="14">
        <f t="shared" ref="Q5:Q28" si="4">IF(ISNUMBER(SEARCH(I5,J5)),0,1)</f>
        <v>0</v>
      </c>
      <c r="R5" s="14">
        <f t="shared" ref="R5:R28" si="5">IF(SUM(K5:Q5)&gt;0,1,0)</f>
        <v>0</v>
      </c>
      <c r="S5" s="14">
        <f>IF(ISNUMBER(SEARCH("|"&amp;E5&amp;"|","|"&amp;VLOOKUP(D5,教师!$A$5:$G$10,6,FALSE)&amp;"|")),1,0)</f>
        <v>0</v>
      </c>
      <c r="T5" s="14">
        <f>IF(COUNTIFS($E$5:E5,E5,$F$5:F5,F5)=1,1,0)</f>
        <v>1</v>
      </c>
      <c r="U5" s="2" t="s">
        <v>321</v>
      </c>
    </row>
    <row r="6" spans="1:21" ht="22" customHeight="1" x14ac:dyDescent="0.35">
      <c r="A6" s="3" t="s">
        <v>42</v>
      </c>
      <c r="B6" s="3" t="s">
        <v>225</v>
      </c>
      <c r="C6" s="12" t="str">
        <f>VLOOKUP(B6,课程需求!$A$5:$H$28,2,FALSE)</f>
        <v>B02</v>
      </c>
      <c r="D6" s="12" t="str">
        <f>VLOOKUP(B6,课程需求!$A$5:$H$28,3,FALSE)</f>
        <v>T02</v>
      </c>
      <c r="E6" s="3" t="s">
        <v>197</v>
      </c>
      <c r="F6" s="3" t="s">
        <v>178</v>
      </c>
      <c r="G6" s="12">
        <f>VLOOKUP(B6,课程需求!$A$5:$H$28,5,FALSE)</f>
        <v>22</v>
      </c>
      <c r="H6" s="12">
        <f>VLOOKUP(F6,教室!$A$5:$F$10,3,FALSE)</f>
        <v>40</v>
      </c>
      <c r="I6" s="12" t="str">
        <f>VLOOKUP(B6,课程需求!$A$5:$H$28,6,FALSE)</f>
        <v>投影</v>
      </c>
      <c r="J6" s="12" t="str">
        <f>VLOOKUP(F6,教室!$A$5:$F$10,4,FALSE)</f>
        <v>投影</v>
      </c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>IF(ISNUMBER(SEARCH("|"&amp;E6&amp;"|","|"&amp;VLOOKUP(D6,教师!$A$5:$G$10,5,FALSE)&amp;"|")),1,0)</f>
        <v>0</v>
      </c>
      <c r="O6" s="15">
        <f>IF(ISNUMBER(SEARCH("|"&amp;E6&amp;"|","|"&amp;VLOOKUP(F6,教室!$A$5:$F$10,5,FALSE)&amp;"|")),0,1)</f>
        <v>0</v>
      </c>
      <c r="P6" s="15">
        <f t="shared" si="3"/>
        <v>0</v>
      </c>
      <c r="Q6" s="15">
        <f t="shared" si="4"/>
        <v>0</v>
      </c>
      <c r="R6" s="15">
        <f t="shared" si="5"/>
        <v>0</v>
      </c>
      <c r="S6" s="15">
        <f>IF(ISNUMBER(SEARCH("|"&amp;E6&amp;"|","|"&amp;VLOOKUP(D6,教师!$A$5:$G$10,6,FALSE)&amp;"|")),1,0)</f>
        <v>1</v>
      </c>
      <c r="T6" s="15">
        <f>IF(COUNTIFS($E$5:E6,E6,$F$5:F6,F6)=1,1,0)</f>
        <v>1</v>
      </c>
      <c r="U6" s="3" t="s">
        <v>321</v>
      </c>
    </row>
    <row r="7" spans="1:21" ht="22" customHeight="1" x14ac:dyDescent="0.35">
      <c r="A7" s="3" t="s">
        <v>42</v>
      </c>
      <c r="B7" s="3" t="s">
        <v>226</v>
      </c>
      <c r="C7" s="12" t="str">
        <f>VLOOKUP(B7,课程需求!$A$5:$H$28,2,FALSE)</f>
        <v>B03</v>
      </c>
      <c r="D7" s="12" t="str">
        <f>VLOOKUP(B7,课程需求!$A$5:$H$28,3,FALSE)</f>
        <v>T03</v>
      </c>
      <c r="E7" s="3" t="s">
        <v>197</v>
      </c>
      <c r="F7" s="3" t="s">
        <v>180</v>
      </c>
      <c r="G7" s="12">
        <f>VLOOKUP(B7,课程需求!$A$5:$H$28,5,FALSE)</f>
        <v>28</v>
      </c>
      <c r="H7" s="12">
        <f>VLOOKUP(F7,教室!$A$5:$F$10,3,FALSE)</f>
        <v>50</v>
      </c>
      <c r="I7" s="12" t="str">
        <f>VLOOKUP(B7,课程需求!$A$5:$H$28,6,FALSE)</f>
        <v>投影</v>
      </c>
      <c r="J7" s="12" t="str">
        <f>VLOOKUP(F7,教室!$A$5:$F$10,4,FALSE)</f>
        <v>投影|电脑</v>
      </c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>IF(ISNUMBER(SEARCH("|"&amp;E7&amp;"|","|"&amp;VLOOKUP(D7,教师!$A$5:$G$10,5,FALSE)&amp;"|")),1,0)</f>
        <v>0</v>
      </c>
      <c r="O7" s="15">
        <f>IF(ISNUMBER(SEARCH("|"&amp;E7&amp;"|","|"&amp;VLOOKUP(F7,教室!$A$5:$F$10,5,FALSE)&amp;"|")),0,1)</f>
        <v>0</v>
      </c>
      <c r="P7" s="15">
        <f t="shared" si="3"/>
        <v>0</v>
      </c>
      <c r="Q7" s="15">
        <f t="shared" si="4"/>
        <v>0</v>
      </c>
      <c r="R7" s="15">
        <f t="shared" si="5"/>
        <v>0</v>
      </c>
      <c r="S7" s="15">
        <f>IF(ISNUMBER(SEARCH("|"&amp;E7&amp;"|","|"&amp;VLOOKUP(D7,教师!$A$5:$G$10,6,FALSE)&amp;"|")),1,0)</f>
        <v>1</v>
      </c>
      <c r="T7" s="15">
        <f>IF(COUNTIFS($E$5:E7,E7,$F$5:F7,F7)=1,1,0)</f>
        <v>1</v>
      </c>
      <c r="U7" s="3" t="s">
        <v>321</v>
      </c>
    </row>
    <row r="8" spans="1:21" ht="22" customHeight="1" x14ac:dyDescent="0.35">
      <c r="A8" s="3" t="s">
        <v>42</v>
      </c>
      <c r="B8" s="3" t="s">
        <v>227</v>
      </c>
      <c r="C8" s="12" t="str">
        <f>VLOOKUP(B8,课程需求!$A$5:$H$28,2,FALSE)</f>
        <v>B04</v>
      </c>
      <c r="D8" s="12" t="str">
        <f>VLOOKUP(B8,课程需求!$A$5:$H$28,3,FALSE)</f>
        <v>T04</v>
      </c>
      <c r="E8" s="3" t="s">
        <v>203</v>
      </c>
      <c r="F8" s="3" t="s">
        <v>174</v>
      </c>
      <c r="G8" s="12">
        <f>VLOOKUP(B8,课程需求!$A$5:$H$28,5,FALSE)</f>
        <v>32</v>
      </c>
      <c r="H8" s="12">
        <f>VLOOKUP(F8,教室!$A$5:$F$10,3,FALSE)</f>
        <v>40</v>
      </c>
      <c r="I8" s="12" t="str">
        <f>VLOOKUP(B8,课程需求!$A$5:$H$28,6,FALSE)</f>
        <v>投影</v>
      </c>
      <c r="J8" s="12" t="str">
        <f>VLOOKUP(F8,教室!$A$5:$F$10,4,FALSE)</f>
        <v>投影</v>
      </c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>IF(ISNUMBER(SEARCH("|"&amp;E8&amp;"|","|"&amp;VLOOKUP(D8,教师!$A$5:$G$10,5,FALSE)&amp;"|")),1,0)</f>
        <v>0</v>
      </c>
      <c r="O8" s="15">
        <f>IF(ISNUMBER(SEARCH("|"&amp;E8&amp;"|","|"&amp;VLOOKUP(F8,教室!$A$5:$F$10,5,FALSE)&amp;"|")),0,1)</f>
        <v>0</v>
      </c>
      <c r="P8" s="15">
        <f t="shared" si="3"/>
        <v>0</v>
      </c>
      <c r="Q8" s="15">
        <f t="shared" si="4"/>
        <v>0</v>
      </c>
      <c r="R8" s="15">
        <f t="shared" si="5"/>
        <v>0</v>
      </c>
      <c r="S8" s="15">
        <f>IF(ISNUMBER(SEARCH("|"&amp;E8&amp;"|","|"&amp;VLOOKUP(D8,教师!$A$5:$G$10,6,FALSE)&amp;"|")),1,0)</f>
        <v>1</v>
      </c>
      <c r="T8" s="15">
        <f>IF(COUNTIFS($E$5:E8,E8,$F$5:F8,F8)=1,1,0)</f>
        <v>1</v>
      </c>
      <c r="U8" s="3" t="s">
        <v>321</v>
      </c>
    </row>
    <row r="9" spans="1:21" ht="22" customHeight="1" x14ac:dyDescent="0.35">
      <c r="A9" s="3" t="s">
        <v>42</v>
      </c>
      <c r="B9" s="3" t="s">
        <v>228</v>
      </c>
      <c r="C9" s="12" t="str">
        <f>VLOOKUP(B9,课程需求!$A$5:$H$28,2,FALSE)</f>
        <v>B05</v>
      </c>
      <c r="D9" s="12" t="str">
        <f>VLOOKUP(B9,课程需求!$A$5:$H$28,3,FALSE)</f>
        <v>T05</v>
      </c>
      <c r="E9" s="3" t="s">
        <v>203</v>
      </c>
      <c r="F9" s="3" t="s">
        <v>178</v>
      </c>
      <c r="G9" s="12">
        <f>VLOOKUP(B9,课程需求!$A$5:$H$28,5,FALSE)</f>
        <v>40</v>
      </c>
      <c r="H9" s="12">
        <f>VLOOKUP(F9,教室!$A$5:$F$10,3,FALSE)</f>
        <v>40</v>
      </c>
      <c r="I9" s="12" t="str">
        <f>VLOOKUP(B9,课程需求!$A$5:$H$28,6,FALSE)</f>
        <v>投影</v>
      </c>
      <c r="J9" s="12" t="str">
        <f>VLOOKUP(F9,教室!$A$5:$F$10,4,FALSE)</f>
        <v>投影</v>
      </c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>IF(ISNUMBER(SEARCH("|"&amp;E9&amp;"|","|"&amp;VLOOKUP(D9,教师!$A$5:$G$10,5,FALSE)&amp;"|")),1,0)</f>
        <v>0</v>
      </c>
      <c r="O9" s="15">
        <f>IF(ISNUMBER(SEARCH("|"&amp;E9&amp;"|","|"&amp;VLOOKUP(F9,教室!$A$5:$F$10,5,FALSE)&amp;"|")),0,1)</f>
        <v>0</v>
      </c>
      <c r="P9" s="15">
        <f t="shared" si="3"/>
        <v>0</v>
      </c>
      <c r="Q9" s="15">
        <f t="shared" si="4"/>
        <v>0</v>
      </c>
      <c r="R9" s="15">
        <f t="shared" si="5"/>
        <v>0</v>
      </c>
      <c r="S9" s="15">
        <f>IF(ISNUMBER(SEARCH("|"&amp;E9&amp;"|","|"&amp;VLOOKUP(D9,教师!$A$5:$G$10,6,FALSE)&amp;"|")),1,0)</f>
        <v>1</v>
      </c>
      <c r="T9" s="15">
        <f>IF(COUNTIFS($E$5:E9,E9,$F$5:F9,F9)=1,1,0)</f>
        <v>1</v>
      </c>
      <c r="U9" s="3" t="s">
        <v>321</v>
      </c>
    </row>
    <row r="10" spans="1:21" ht="22" customHeight="1" x14ac:dyDescent="0.35">
      <c r="A10" s="3" t="s">
        <v>42</v>
      </c>
      <c r="B10" s="3" t="s">
        <v>229</v>
      </c>
      <c r="C10" s="12" t="str">
        <f>VLOOKUP(B10,课程需求!$A$5:$H$28,2,FALSE)</f>
        <v>B06</v>
      </c>
      <c r="D10" s="12" t="str">
        <f>VLOOKUP(B10,课程需求!$A$5:$H$28,3,FALSE)</f>
        <v>T06</v>
      </c>
      <c r="E10" s="3" t="s">
        <v>203</v>
      </c>
      <c r="F10" s="3" t="s">
        <v>180</v>
      </c>
      <c r="G10" s="12">
        <f>VLOOKUP(B10,课程需求!$A$5:$H$28,5,FALSE)</f>
        <v>48</v>
      </c>
      <c r="H10" s="12">
        <f>VLOOKUP(F10,教室!$A$5:$F$10,3,FALSE)</f>
        <v>50</v>
      </c>
      <c r="I10" s="12" t="str">
        <f>VLOOKUP(B10,课程需求!$A$5:$H$28,6,FALSE)</f>
        <v>电脑</v>
      </c>
      <c r="J10" s="12" t="str">
        <f>VLOOKUP(F10,教室!$A$5:$F$10,4,FALSE)</f>
        <v>投影|电脑</v>
      </c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>IF(ISNUMBER(SEARCH("|"&amp;E10&amp;"|","|"&amp;VLOOKUP(D10,教师!$A$5:$G$10,5,FALSE)&amp;"|")),1,0)</f>
        <v>0</v>
      </c>
      <c r="O10" s="15">
        <f>IF(ISNUMBER(SEARCH("|"&amp;E10&amp;"|","|"&amp;VLOOKUP(F10,教室!$A$5:$F$10,5,FALSE)&amp;"|")),0,1)</f>
        <v>0</v>
      </c>
      <c r="P10" s="15">
        <f t="shared" si="3"/>
        <v>0</v>
      </c>
      <c r="Q10" s="15">
        <f t="shared" si="4"/>
        <v>0</v>
      </c>
      <c r="R10" s="15">
        <f t="shared" si="5"/>
        <v>0</v>
      </c>
      <c r="S10" s="15">
        <f>IF(ISNUMBER(SEARCH("|"&amp;E10&amp;"|","|"&amp;VLOOKUP(D10,教师!$A$5:$G$10,6,FALSE)&amp;"|")),1,0)</f>
        <v>1</v>
      </c>
      <c r="T10" s="15">
        <f>IF(COUNTIFS($E$5:E10,E10,$F$5:F10,F10)=1,1,0)</f>
        <v>1</v>
      </c>
      <c r="U10" s="3" t="s">
        <v>321</v>
      </c>
    </row>
    <row r="11" spans="1:21" ht="22" customHeight="1" x14ac:dyDescent="0.35">
      <c r="A11" s="3" t="s">
        <v>42</v>
      </c>
      <c r="B11" s="3" t="s">
        <v>230</v>
      </c>
      <c r="C11" s="12" t="str">
        <f>VLOOKUP(B11,课程需求!$A$5:$H$28,2,FALSE)</f>
        <v>B07</v>
      </c>
      <c r="D11" s="12" t="str">
        <f>VLOOKUP(B11,课程需求!$A$5:$H$28,3,FALSE)</f>
        <v>T01</v>
      </c>
      <c r="E11" s="3" t="s">
        <v>207</v>
      </c>
      <c r="F11" s="3" t="s">
        <v>174</v>
      </c>
      <c r="G11" s="12">
        <f>VLOOKUP(B11,课程需求!$A$5:$H$28,5,FALSE)</f>
        <v>20</v>
      </c>
      <c r="H11" s="12">
        <f>VLOOKUP(F11,教室!$A$5:$F$10,3,FALSE)</f>
        <v>40</v>
      </c>
      <c r="I11" s="12" t="str">
        <f>VLOOKUP(B11,课程需求!$A$5:$H$28,6,FALSE)</f>
        <v>投影</v>
      </c>
      <c r="J11" s="12" t="str">
        <f>VLOOKUP(F11,教室!$A$5:$F$10,4,FALSE)</f>
        <v>投影</v>
      </c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>IF(ISNUMBER(SEARCH("|"&amp;E11&amp;"|","|"&amp;VLOOKUP(D11,教师!$A$5:$G$10,5,FALSE)&amp;"|")),1,0)</f>
        <v>0</v>
      </c>
      <c r="O11" s="15">
        <f>IF(ISNUMBER(SEARCH("|"&amp;E11&amp;"|","|"&amp;VLOOKUP(F11,教室!$A$5:$F$10,5,FALSE)&amp;"|")),0,1)</f>
        <v>0</v>
      </c>
      <c r="P11" s="15">
        <f t="shared" si="3"/>
        <v>0</v>
      </c>
      <c r="Q11" s="15">
        <f t="shared" si="4"/>
        <v>0</v>
      </c>
      <c r="R11" s="15">
        <f t="shared" si="5"/>
        <v>0</v>
      </c>
      <c r="S11" s="15">
        <f>IF(ISNUMBER(SEARCH("|"&amp;E11&amp;"|","|"&amp;VLOOKUP(D11,教师!$A$5:$G$10,6,FALSE)&amp;"|")),1,0)</f>
        <v>1</v>
      </c>
      <c r="T11" s="15">
        <f>IF(COUNTIFS($E$5:E11,E11,$F$5:F11,F11)=1,1,0)</f>
        <v>1</v>
      </c>
      <c r="U11" s="3" t="s">
        <v>321</v>
      </c>
    </row>
    <row r="12" spans="1:21" ht="22" customHeight="1" x14ac:dyDescent="0.35">
      <c r="A12" s="3" t="s">
        <v>42</v>
      </c>
      <c r="B12" s="3" t="s">
        <v>231</v>
      </c>
      <c r="C12" s="12" t="str">
        <f>VLOOKUP(B12,课程需求!$A$5:$H$28,2,FALSE)</f>
        <v>B08</v>
      </c>
      <c r="D12" s="12" t="str">
        <f>VLOOKUP(B12,课程需求!$A$5:$H$28,3,FALSE)</f>
        <v>T02</v>
      </c>
      <c r="E12" s="3" t="s">
        <v>207</v>
      </c>
      <c r="F12" s="3" t="s">
        <v>178</v>
      </c>
      <c r="G12" s="12">
        <f>VLOOKUP(B12,课程需求!$A$5:$H$28,5,FALSE)</f>
        <v>26</v>
      </c>
      <c r="H12" s="12">
        <f>VLOOKUP(F12,教室!$A$5:$F$10,3,FALSE)</f>
        <v>40</v>
      </c>
      <c r="I12" s="12" t="str">
        <f>VLOOKUP(B12,课程需求!$A$5:$H$28,6,FALSE)</f>
        <v>投影</v>
      </c>
      <c r="J12" s="12" t="str">
        <f>VLOOKUP(F12,教室!$A$5:$F$10,4,FALSE)</f>
        <v>投影</v>
      </c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>IF(ISNUMBER(SEARCH("|"&amp;E12&amp;"|","|"&amp;VLOOKUP(D12,教师!$A$5:$G$10,5,FALSE)&amp;"|")),1,0)</f>
        <v>0</v>
      </c>
      <c r="O12" s="15">
        <f>IF(ISNUMBER(SEARCH("|"&amp;E12&amp;"|","|"&amp;VLOOKUP(F12,教室!$A$5:$F$10,5,FALSE)&amp;"|")),0,1)</f>
        <v>0</v>
      </c>
      <c r="P12" s="15">
        <f t="shared" si="3"/>
        <v>0</v>
      </c>
      <c r="Q12" s="15">
        <f t="shared" si="4"/>
        <v>0</v>
      </c>
      <c r="R12" s="15">
        <f t="shared" si="5"/>
        <v>0</v>
      </c>
      <c r="S12" s="15">
        <f>IF(ISNUMBER(SEARCH("|"&amp;E12&amp;"|","|"&amp;VLOOKUP(D12,教师!$A$5:$G$10,6,FALSE)&amp;"|")),1,0)</f>
        <v>1</v>
      </c>
      <c r="T12" s="15">
        <f>IF(COUNTIFS($E$5:E12,E12,$F$5:F12,F12)=1,1,0)</f>
        <v>1</v>
      </c>
      <c r="U12" s="3" t="s">
        <v>321</v>
      </c>
    </row>
    <row r="13" spans="1:21" ht="22" customHeight="1" x14ac:dyDescent="0.35">
      <c r="A13" s="3" t="s">
        <v>42</v>
      </c>
      <c r="B13" s="3" t="s">
        <v>232</v>
      </c>
      <c r="C13" s="12" t="str">
        <f>VLOOKUP(B13,课程需求!$A$5:$H$28,2,FALSE)</f>
        <v>B09</v>
      </c>
      <c r="D13" s="12" t="str">
        <f>VLOOKUP(B13,课程需求!$A$5:$H$28,3,FALSE)</f>
        <v>T03</v>
      </c>
      <c r="E13" s="3" t="s">
        <v>207</v>
      </c>
      <c r="F13" s="3" t="s">
        <v>180</v>
      </c>
      <c r="G13" s="12">
        <f>VLOOKUP(B13,课程需求!$A$5:$H$28,5,FALSE)</f>
        <v>36</v>
      </c>
      <c r="H13" s="12">
        <f>VLOOKUP(F13,教室!$A$5:$F$10,3,FALSE)</f>
        <v>50</v>
      </c>
      <c r="I13" s="12" t="str">
        <f>VLOOKUP(B13,课程需求!$A$5:$H$28,6,FALSE)</f>
        <v>投影</v>
      </c>
      <c r="J13" s="12" t="str">
        <f>VLOOKUP(F13,教室!$A$5:$F$10,4,FALSE)</f>
        <v>投影|电脑</v>
      </c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>IF(ISNUMBER(SEARCH("|"&amp;E13&amp;"|","|"&amp;VLOOKUP(D13,教师!$A$5:$G$10,5,FALSE)&amp;"|")),1,0)</f>
        <v>0</v>
      </c>
      <c r="O13" s="15">
        <f>IF(ISNUMBER(SEARCH("|"&amp;E13&amp;"|","|"&amp;VLOOKUP(F13,教室!$A$5:$F$10,5,FALSE)&amp;"|")),0,1)</f>
        <v>0</v>
      </c>
      <c r="P13" s="15">
        <f t="shared" si="3"/>
        <v>0</v>
      </c>
      <c r="Q13" s="15">
        <f t="shared" si="4"/>
        <v>0</v>
      </c>
      <c r="R13" s="15">
        <f t="shared" si="5"/>
        <v>0</v>
      </c>
      <c r="S13" s="15">
        <f>IF(ISNUMBER(SEARCH("|"&amp;E13&amp;"|","|"&amp;VLOOKUP(D13,教师!$A$5:$G$10,6,FALSE)&amp;"|")),1,0)</f>
        <v>0</v>
      </c>
      <c r="T13" s="15">
        <f>IF(COUNTIFS($E$5:E13,E13,$F$5:F13,F13)=1,1,0)</f>
        <v>1</v>
      </c>
      <c r="U13" s="3" t="s">
        <v>321</v>
      </c>
    </row>
    <row r="14" spans="1:21" ht="22" customHeight="1" x14ac:dyDescent="0.35">
      <c r="A14" s="3" t="s">
        <v>42</v>
      </c>
      <c r="B14" s="3" t="s">
        <v>233</v>
      </c>
      <c r="C14" s="12" t="str">
        <f>VLOOKUP(B14,课程需求!$A$5:$H$28,2,FALSE)</f>
        <v>B10</v>
      </c>
      <c r="D14" s="12" t="str">
        <f>VLOOKUP(B14,课程需求!$A$5:$H$28,3,FALSE)</f>
        <v>T04</v>
      </c>
      <c r="E14" s="3" t="s">
        <v>209</v>
      </c>
      <c r="F14" s="3" t="s">
        <v>174</v>
      </c>
      <c r="G14" s="12">
        <f>VLOOKUP(B14,课程需求!$A$5:$H$28,5,FALSE)</f>
        <v>16</v>
      </c>
      <c r="H14" s="12">
        <f>VLOOKUP(F14,教室!$A$5:$F$10,3,FALSE)</f>
        <v>40</v>
      </c>
      <c r="I14" s="12" t="str">
        <f>VLOOKUP(B14,课程需求!$A$5:$H$28,6,FALSE)</f>
        <v>投影</v>
      </c>
      <c r="J14" s="12" t="str">
        <f>VLOOKUP(F14,教室!$A$5:$F$10,4,FALSE)</f>
        <v>投影</v>
      </c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>IF(ISNUMBER(SEARCH("|"&amp;E14&amp;"|","|"&amp;VLOOKUP(D14,教师!$A$5:$G$10,5,FALSE)&amp;"|")),1,0)</f>
        <v>0</v>
      </c>
      <c r="O14" s="15">
        <f>IF(ISNUMBER(SEARCH("|"&amp;E14&amp;"|","|"&amp;VLOOKUP(F14,教室!$A$5:$F$10,5,FALSE)&amp;"|")),0,1)</f>
        <v>0</v>
      </c>
      <c r="P14" s="15">
        <f t="shared" si="3"/>
        <v>0</v>
      </c>
      <c r="Q14" s="15">
        <f t="shared" si="4"/>
        <v>0</v>
      </c>
      <c r="R14" s="15">
        <f t="shared" si="5"/>
        <v>0</v>
      </c>
      <c r="S14" s="15">
        <f>IF(ISNUMBER(SEARCH("|"&amp;E14&amp;"|","|"&amp;VLOOKUP(D14,教师!$A$5:$G$10,6,FALSE)&amp;"|")),1,0)</f>
        <v>1</v>
      </c>
      <c r="T14" s="15">
        <f>IF(COUNTIFS($E$5:E14,E14,$F$5:F14,F14)=1,1,0)</f>
        <v>1</v>
      </c>
      <c r="U14" s="3" t="s">
        <v>321</v>
      </c>
    </row>
    <row r="15" spans="1:21" ht="22" customHeight="1" x14ac:dyDescent="0.35">
      <c r="A15" s="3" t="s">
        <v>42</v>
      </c>
      <c r="B15" s="3" t="s">
        <v>234</v>
      </c>
      <c r="C15" s="12" t="str">
        <f>VLOOKUP(B15,课程需求!$A$5:$H$28,2,FALSE)</f>
        <v>B11</v>
      </c>
      <c r="D15" s="12" t="str">
        <f>VLOOKUP(B15,课程需求!$A$5:$H$28,3,FALSE)</f>
        <v>T05</v>
      </c>
      <c r="E15" s="3" t="s">
        <v>209</v>
      </c>
      <c r="F15" s="3" t="s">
        <v>178</v>
      </c>
      <c r="G15" s="12">
        <f>VLOOKUP(B15,课程需求!$A$5:$H$28,5,FALSE)</f>
        <v>24</v>
      </c>
      <c r="H15" s="12">
        <f>VLOOKUP(F15,教室!$A$5:$F$10,3,FALSE)</f>
        <v>40</v>
      </c>
      <c r="I15" s="12" t="str">
        <f>VLOOKUP(B15,课程需求!$A$5:$H$28,6,FALSE)</f>
        <v>投影</v>
      </c>
      <c r="J15" s="12" t="str">
        <f>VLOOKUP(F15,教室!$A$5:$F$10,4,FALSE)</f>
        <v>投影</v>
      </c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>IF(ISNUMBER(SEARCH("|"&amp;E15&amp;"|","|"&amp;VLOOKUP(D15,教师!$A$5:$G$10,5,FALSE)&amp;"|")),1,0)</f>
        <v>0</v>
      </c>
      <c r="O15" s="15">
        <f>IF(ISNUMBER(SEARCH("|"&amp;E15&amp;"|","|"&amp;VLOOKUP(F15,教室!$A$5:$F$10,5,FALSE)&amp;"|")),0,1)</f>
        <v>0</v>
      </c>
      <c r="P15" s="15">
        <f t="shared" si="3"/>
        <v>0</v>
      </c>
      <c r="Q15" s="15">
        <f t="shared" si="4"/>
        <v>0</v>
      </c>
      <c r="R15" s="15">
        <f t="shared" si="5"/>
        <v>0</v>
      </c>
      <c r="S15" s="15">
        <f>IF(ISNUMBER(SEARCH("|"&amp;E15&amp;"|","|"&amp;VLOOKUP(D15,教师!$A$5:$G$10,6,FALSE)&amp;"|")),1,0)</f>
        <v>1</v>
      </c>
      <c r="T15" s="15">
        <f>IF(COUNTIFS($E$5:E15,E15,$F$5:F15,F15)=1,1,0)</f>
        <v>1</v>
      </c>
      <c r="U15" s="3" t="s">
        <v>321</v>
      </c>
    </row>
    <row r="16" spans="1:21" ht="22" customHeight="1" x14ac:dyDescent="0.35">
      <c r="A16" s="3" t="s">
        <v>42</v>
      </c>
      <c r="B16" s="3" t="s">
        <v>235</v>
      </c>
      <c r="C16" s="12" t="str">
        <f>VLOOKUP(B16,课程需求!$A$5:$H$28,2,FALSE)</f>
        <v>B12</v>
      </c>
      <c r="D16" s="12" t="str">
        <f>VLOOKUP(B16,课程需求!$A$5:$H$28,3,FALSE)</f>
        <v>T06</v>
      </c>
      <c r="E16" s="3" t="s">
        <v>209</v>
      </c>
      <c r="F16" s="3" t="s">
        <v>180</v>
      </c>
      <c r="G16" s="12">
        <f>VLOOKUP(B16,课程需求!$A$5:$H$28,5,FALSE)</f>
        <v>30</v>
      </c>
      <c r="H16" s="12">
        <f>VLOOKUP(F16,教室!$A$5:$F$10,3,FALSE)</f>
        <v>50</v>
      </c>
      <c r="I16" s="12" t="str">
        <f>VLOOKUP(B16,课程需求!$A$5:$H$28,6,FALSE)</f>
        <v>电脑</v>
      </c>
      <c r="J16" s="12" t="str">
        <f>VLOOKUP(F16,教室!$A$5:$F$10,4,FALSE)</f>
        <v>投影|电脑</v>
      </c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>IF(ISNUMBER(SEARCH("|"&amp;E16&amp;"|","|"&amp;VLOOKUP(D16,教师!$A$5:$G$10,5,FALSE)&amp;"|")),1,0)</f>
        <v>0</v>
      </c>
      <c r="O16" s="15">
        <f>IF(ISNUMBER(SEARCH("|"&amp;E16&amp;"|","|"&amp;VLOOKUP(F16,教室!$A$5:$F$10,5,FALSE)&amp;"|")),0,1)</f>
        <v>0</v>
      </c>
      <c r="P16" s="15">
        <f t="shared" si="3"/>
        <v>0</v>
      </c>
      <c r="Q16" s="15">
        <f t="shared" si="4"/>
        <v>0</v>
      </c>
      <c r="R16" s="15">
        <f t="shared" si="5"/>
        <v>0</v>
      </c>
      <c r="S16" s="15">
        <f>IF(ISNUMBER(SEARCH("|"&amp;E16&amp;"|","|"&amp;VLOOKUP(D16,教师!$A$5:$G$10,6,FALSE)&amp;"|")),1,0)</f>
        <v>1</v>
      </c>
      <c r="T16" s="15">
        <f>IF(COUNTIFS($E$5:E16,E16,$F$5:F16,F16)=1,1,0)</f>
        <v>1</v>
      </c>
      <c r="U16" s="3" t="s">
        <v>321</v>
      </c>
    </row>
    <row r="17" spans="1:21" ht="22" customHeight="1" x14ac:dyDescent="0.35">
      <c r="A17" s="3" t="s">
        <v>42</v>
      </c>
      <c r="B17" s="3" t="s">
        <v>236</v>
      </c>
      <c r="C17" s="12" t="str">
        <f>VLOOKUP(B17,课程需求!$A$5:$H$28,2,FALSE)</f>
        <v>B01</v>
      </c>
      <c r="D17" s="12" t="str">
        <f>VLOOKUP(B17,课程需求!$A$5:$H$28,3,FALSE)</f>
        <v>T01</v>
      </c>
      <c r="E17" s="3" t="s">
        <v>210</v>
      </c>
      <c r="F17" s="3" t="s">
        <v>174</v>
      </c>
      <c r="G17" s="12">
        <f>VLOOKUP(B17,课程需求!$A$5:$H$28,5,FALSE)</f>
        <v>18</v>
      </c>
      <c r="H17" s="12">
        <f>VLOOKUP(F17,教室!$A$5:$F$10,3,FALSE)</f>
        <v>40</v>
      </c>
      <c r="I17" s="12" t="str">
        <f>VLOOKUP(B17,课程需求!$A$5:$H$28,6,FALSE)</f>
        <v>投影</v>
      </c>
      <c r="J17" s="12" t="str">
        <f>VLOOKUP(F17,教室!$A$5:$F$10,4,FALSE)</f>
        <v>投影</v>
      </c>
      <c r="K17" s="15">
        <f t="shared" si="0"/>
        <v>0</v>
      </c>
      <c r="L17" s="15">
        <f t="shared" si="1"/>
        <v>0</v>
      </c>
      <c r="M17" s="15">
        <f t="shared" si="2"/>
        <v>0</v>
      </c>
      <c r="N17" s="15">
        <f>IF(ISNUMBER(SEARCH("|"&amp;E17&amp;"|","|"&amp;VLOOKUP(D17,教师!$A$5:$G$10,5,FALSE)&amp;"|")),1,0)</f>
        <v>0</v>
      </c>
      <c r="O17" s="15">
        <f>IF(ISNUMBER(SEARCH("|"&amp;E17&amp;"|","|"&amp;VLOOKUP(F17,教室!$A$5:$F$10,5,FALSE)&amp;"|")),0,1)</f>
        <v>0</v>
      </c>
      <c r="P17" s="15">
        <f t="shared" si="3"/>
        <v>0</v>
      </c>
      <c r="Q17" s="15">
        <f t="shared" si="4"/>
        <v>0</v>
      </c>
      <c r="R17" s="15">
        <f t="shared" si="5"/>
        <v>0</v>
      </c>
      <c r="S17" s="15">
        <f>IF(ISNUMBER(SEARCH("|"&amp;E17&amp;"|","|"&amp;VLOOKUP(D17,教师!$A$5:$G$10,6,FALSE)&amp;"|")),1,0)</f>
        <v>1</v>
      </c>
      <c r="T17" s="15">
        <f>IF(COUNTIFS($E$5:E17,E17,$F$5:F17,F17)=1,1,0)</f>
        <v>1</v>
      </c>
      <c r="U17" s="3" t="s">
        <v>321</v>
      </c>
    </row>
    <row r="18" spans="1:21" ht="22" customHeight="1" x14ac:dyDescent="0.35">
      <c r="A18" s="3" t="s">
        <v>42</v>
      </c>
      <c r="B18" s="3" t="s">
        <v>237</v>
      </c>
      <c r="C18" s="12" t="str">
        <f>VLOOKUP(B18,课程需求!$A$5:$H$28,2,FALSE)</f>
        <v>B05</v>
      </c>
      <c r="D18" s="12" t="str">
        <f>VLOOKUP(B18,课程需求!$A$5:$H$28,3,FALSE)</f>
        <v>T05</v>
      </c>
      <c r="E18" s="3" t="s">
        <v>210</v>
      </c>
      <c r="F18" s="3" t="s">
        <v>178</v>
      </c>
      <c r="G18" s="12">
        <f>VLOOKUP(B18,课程需求!$A$5:$H$28,5,FALSE)</f>
        <v>40</v>
      </c>
      <c r="H18" s="12">
        <f>VLOOKUP(F18,教室!$A$5:$F$10,3,FALSE)</f>
        <v>40</v>
      </c>
      <c r="I18" s="12" t="str">
        <f>VLOOKUP(B18,课程需求!$A$5:$H$28,6,FALSE)</f>
        <v>投影</v>
      </c>
      <c r="J18" s="12" t="str">
        <f>VLOOKUP(F18,教室!$A$5:$F$10,4,FALSE)</f>
        <v>投影</v>
      </c>
      <c r="K18" s="15">
        <f t="shared" si="0"/>
        <v>0</v>
      </c>
      <c r="L18" s="15">
        <f t="shared" si="1"/>
        <v>0</v>
      </c>
      <c r="M18" s="15">
        <f t="shared" si="2"/>
        <v>0</v>
      </c>
      <c r="N18" s="15">
        <f>IF(ISNUMBER(SEARCH("|"&amp;E18&amp;"|","|"&amp;VLOOKUP(D18,教师!$A$5:$G$10,5,FALSE)&amp;"|")),1,0)</f>
        <v>0</v>
      </c>
      <c r="O18" s="15">
        <f>IF(ISNUMBER(SEARCH("|"&amp;E18&amp;"|","|"&amp;VLOOKUP(F18,教室!$A$5:$F$10,5,FALSE)&amp;"|")),0,1)</f>
        <v>0</v>
      </c>
      <c r="P18" s="15">
        <f t="shared" si="3"/>
        <v>0</v>
      </c>
      <c r="Q18" s="15">
        <f t="shared" si="4"/>
        <v>0</v>
      </c>
      <c r="R18" s="15">
        <f t="shared" si="5"/>
        <v>0</v>
      </c>
      <c r="S18" s="15">
        <f>IF(ISNUMBER(SEARCH("|"&amp;E18&amp;"|","|"&amp;VLOOKUP(D18,教师!$A$5:$G$10,6,FALSE)&amp;"|")),1,0)</f>
        <v>1</v>
      </c>
      <c r="T18" s="15">
        <f>IF(COUNTIFS($E$5:E18,E18,$F$5:F18,F18)=1,1,0)</f>
        <v>1</v>
      </c>
      <c r="U18" s="3" t="s">
        <v>321</v>
      </c>
    </row>
    <row r="19" spans="1:21" ht="22" customHeight="1" x14ac:dyDescent="0.35">
      <c r="A19" s="3" t="s">
        <v>42</v>
      </c>
      <c r="B19" s="3" t="s">
        <v>238</v>
      </c>
      <c r="C19" s="12" t="str">
        <f>VLOOKUP(B19,课程需求!$A$5:$H$28,2,FALSE)</f>
        <v>B09</v>
      </c>
      <c r="D19" s="12" t="str">
        <f>VLOOKUP(B19,课程需求!$A$5:$H$28,3,FALSE)</f>
        <v>T03</v>
      </c>
      <c r="E19" s="3" t="s">
        <v>210</v>
      </c>
      <c r="F19" s="3" t="s">
        <v>180</v>
      </c>
      <c r="G19" s="12">
        <f>VLOOKUP(B19,课程需求!$A$5:$H$28,5,FALSE)</f>
        <v>36</v>
      </c>
      <c r="H19" s="12">
        <f>VLOOKUP(F19,教室!$A$5:$F$10,3,FALSE)</f>
        <v>50</v>
      </c>
      <c r="I19" s="12" t="str">
        <f>VLOOKUP(B19,课程需求!$A$5:$H$28,6,FALSE)</f>
        <v>投影</v>
      </c>
      <c r="J19" s="12" t="str">
        <f>VLOOKUP(F19,教室!$A$5:$F$10,4,FALSE)</f>
        <v>投影|电脑</v>
      </c>
      <c r="K19" s="15">
        <f t="shared" si="0"/>
        <v>0</v>
      </c>
      <c r="L19" s="15">
        <f t="shared" si="1"/>
        <v>0</v>
      </c>
      <c r="M19" s="15">
        <f t="shared" si="2"/>
        <v>0</v>
      </c>
      <c r="N19" s="15">
        <f>IF(ISNUMBER(SEARCH("|"&amp;E19&amp;"|","|"&amp;VLOOKUP(D19,教师!$A$5:$G$10,5,FALSE)&amp;"|")),1,0)</f>
        <v>0</v>
      </c>
      <c r="O19" s="15">
        <f>IF(ISNUMBER(SEARCH("|"&amp;E19&amp;"|","|"&amp;VLOOKUP(F19,教室!$A$5:$F$10,5,FALSE)&amp;"|")),0,1)</f>
        <v>0</v>
      </c>
      <c r="P19" s="15">
        <f t="shared" si="3"/>
        <v>0</v>
      </c>
      <c r="Q19" s="15">
        <f t="shared" si="4"/>
        <v>0</v>
      </c>
      <c r="R19" s="15">
        <f t="shared" si="5"/>
        <v>0</v>
      </c>
      <c r="S19" s="15">
        <f>IF(ISNUMBER(SEARCH("|"&amp;E19&amp;"|","|"&amp;VLOOKUP(D19,教师!$A$5:$G$10,6,FALSE)&amp;"|")),1,0)</f>
        <v>1</v>
      </c>
      <c r="T19" s="15">
        <f>IF(COUNTIFS($E$5:E19,E19,$F$5:F19,F19)=1,1,0)</f>
        <v>1</v>
      </c>
      <c r="U19" s="3" t="s">
        <v>321</v>
      </c>
    </row>
    <row r="20" spans="1:21" ht="22" customHeight="1" x14ac:dyDescent="0.35">
      <c r="A20" s="3" t="s">
        <v>42</v>
      </c>
      <c r="B20" s="3" t="s">
        <v>239</v>
      </c>
      <c r="C20" s="12" t="str">
        <f>VLOOKUP(B20,课程需求!$A$5:$H$28,2,FALSE)</f>
        <v>B02</v>
      </c>
      <c r="D20" s="12" t="str">
        <f>VLOOKUP(B20,课程需求!$A$5:$H$28,3,FALSE)</f>
        <v>T02</v>
      </c>
      <c r="E20" s="3" t="s">
        <v>212</v>
      </c>
      <c r="F20" s="3" t="s">
        <v>174</v>
      </c>
      <c r="G20" s="12">
        <f>VLOOKUP(B20,课程需求!$A$5:$H$28,5,FALSE)</f>
        <v>22</v>
      </c>
      <c r="H20" s="12">
        <f>VLOOKUP(F20,教室!$A$5:$F$10,3,FALSE)</f>
        <v>40</v>
      </c>
      <c r="I20" s="12" t="str">
        <f>VLOOKUP(B20,课程需求!$A$5:$H$28,6,FALSE)</f>
        <v>投影</v>
      </c>
      <c r="J20" s="12" t="str">
        <f>VLOOKUP(F20,教室!$A$5:$F$10,4,FALSE)</f>
        <v>投影</v>
      </c>
      <c r="K20" s="15">
        <f t="shared" si="0"/>
        <v>0</v>
      </c>
      <c r="L20" s="15">
        <f t="shared" si="1"/>
        <v>0</v>
      </c>
      <c r="M20" s="15">
        <f t="shared" si="2"/>
        <v>0</v>
      </c>
      <c r="N20" s="15">
        <f>IF(ISNUMBER(SEARCH("|"&amp;E20&amp;"|","|"&amp;VLOOKUP(D20,教师!$A$5:$G$10,5,FALSE)&amp;"|")),1,0)</f>
        <v>0</v>
      </c>
      <c r="O20" s="15">
        <f>IF(ISNUMBER(SEARCH("|"&amp;E20&amp;"|","|"&amp;VLOOKUP(F20,教室!$A$5:$F$10,5,FALSE)&amp;"|")),0,1)</f>
        <v>0</v>
      </c>
      <c r="P20" s="15">
        <f t="shared" si="3"/>
        <v>0</v>
      </c>
      <c r="Q20" s="15">
        <f t="shared" si="4"/>
        <v>0</v>
      </c>
      <c r="R20" s="15">
        <f t="shared" si="5"/>
        <v>0</v>
      </c>
      <c r="S20" s="15">
        <f>IF(ISNUMBER(SEARCH("|"&amp;E20&amp;"|","|"&amp;VLOOKUP(D20,教师!$A$5:$G$10,6,FALSE)&amp;"|")),1,0)</f>
        <v>1</v>
      </c>
      <c r="T20" s="15">
        <f>IF(COUNTIFS($E$5:E20,E20,$F$5:F20,F20)=1,1,0)</f>
        <v>1</v>
      </c>
      <c r="U20" s="3" t="s">
        <v>321</v>
      </c>
    </row>
    <row r="21" spans="1:21" ht="22" customHeight="1" x14ac:dyDescent="0.35">
      <c r="A21" s="3" t="s">
        <v>42</v>
      </c>
      <c r="B21" s="3" t="s">
        <v>240</v>
      </c>
      <c r="C21" s="12" t="str">
        <f>VLOOKUP(B21,课程需求!$A$5:$H$28,2,FALSE)</f>
        <v>B10</v>
      </c>
      <c r="D21" s="12" t="str">
        <f>VLOOKUP(B21,课程需求!$A$5:$H$28,3,FALSE)</f>
        <v>T04</v>
      </c>
      <c r="E21" s="3" t="s">
        <v>212</v>
      </c>
      <c r="F21" s="3" t="s">
        <v>178</v>
      </c>
      <c r="G21" s="12">
        <f>VLOOKUP(B21,课程需求!$A$5:$H$28,5,FALSE)</f>
        <v>16</v>
      </c>
      <c r="H21" s="12">
        <f>VLOOKUP(F21,教室!$A$5:$F$10,3,FALSE)</f>
        <v>40</v>
      </c>
      <c r="I21" s="12" t="str">
        <f>VLOOKUP(B21,课程需求!$A$5:$H$28,6,FALSE)</f>
        <v>投影</v>
      </c>
      <c r="J21" s="12" t="str">
        <f>VLOOKUP(F21,教室!$A$5:$F$10,4,FALSE)</f>
        <v>投影</v>
      </c>
      <c r="K21" s="15">
        <f t="shared" si="0"/>
        <v>0</v>
      </c>
      <c r="L21" s="15">
        <f t="shared" si="1"/>
        <v>0</v>
      </c>
      <c r="M21" s="15">
        <f t="shared" si="2"/>
        <v>0</v>
      </c>
      <c r="N21" s="15">
        <f>IF(ISNUMBER(SEARCH("|"&amp;E21&amp;"|","|"&amp;VLOOKUP(D21,教师!$A$5:$G$10,5,FALSE)&amp;"|")),1,0)</f>
        <v>0</v>
      </c>
      <c r="O21" s="15">
        <f>IF(ISNUMBER(SEARCH("|"&amp;E21&amp;"|","|"&amp;VLOOKUP(F21,教室!$A$5:$F$10,5,FALSE)&amp;"|")),0,1)</f>
        <v>0</v>
      </c>
      <c r="P21" s="15">
        <f t="shared" si="3"/>
        <v>0</v>
      </c>
      <c r="Q21" s="15">
        <f t="shared" si="4"/>
        <v>0</v>
      </c>
      <c r="R21" s="15">
        <f t="shared" si="5"/>
        <v>0</v>
      </c>
      <c r="S21" s="15">
        <f>IF(ISNUMBER(SEARCH("|"&amp;E21&amp;"|","|"&amp;VLOOKUP(D21,教师!$A$5:$G$10,6,FALSE)&amp;"|")),1,0)</f>
        <v>1</v>
      </c>
      <c r="T21" s="15">
        <f>IF(COUNTIFS($E$5:E21,E21,$F$5:F21,F21)=1,1,0)</f>
        <v>1</v>
      </c>
      <c r="U21" s="3" t="s">
        <v>321</v>
      </c>
    </row>
    <row r="22" spans="1:21" ht="22" customHeight="1" x14ac:dyDescent="0.35">
      <c r="A22" s="3" t="s">
        <v>42</v>
      </c>
      <c r="B22" s="3" t="s">
        <v>241</v>
      </c>
      <c r="C22" s="12" t="str">
        <f>VLOOKUP(B22,课程需求!$A$5:$H$28,2,FALSE)</f>
        <v>B06</v>
      </c>
      <c r="D22" s="12" t="str">
        <f>VLOOKUP(B22,课程需求!$A$5:$H$28,3,FALSE)</f>
        <v>T06</v>
      </c>
      <c r="E22" s="3" t="s">
        <v>212</v>
      </c>
      <c r="F22" s="3" t="s">
        <v>180</v>
      </c>
      <c r="G22" s="12">
        <f>VLOOKUP(B22,课程需求!$A$5:$H$28,5,FALSE)</f>
        <v>48</v>
      </c>
      <c r="H22" s="12">
        <f>VLOOKUP(F22,教室!$A$5:$F$10,3,FALSE)</f>
        <v>50</v>
      </c>
      <c r="I22" s="12" t="str">
        <f>VLOOKUP(B22,课程需求!$A$5:$H$28,6,FALSE)</f>
        <v>电脑</v>
      </c>
      <c r="J22" s="12" t="str">
        <f>VLOOKUP(F22,教室!$A$5:$F$10,4,FALSE)</f>
        <v>投影|电脑</v>
      </c>
      <c r="K22" s="15">
        <f t="shared" si="0"/>
        <v>0</v>
      </c>
      <c r="L22" s="15">
        <f t="shared" si="1"/>
        <v>0</v>
      </c>
      <c r="M22" s="15">
        <f t="shared" si="2"/>
        <v>0</v>
      </c>
      <c r="N22" s="15">
        <f>IF(ISNUMBER(SEARCH("|"&amp;E22&amp;"|","|"&amp;VLOOKUP(D22,教师!$A$5:$G$10,5,FALSE)&amp;"|")),1,0)</f>
        <v>0</v>
      </c>
      <c r="O22" s="15">
        <f>IF(ISNUMBER(SEARCH("|"&amp;E22&amp;"|","|"&amp;VLOOKUP(F22,教室!$A$5:$F$10,5,FALSE)&amp;"|")),0,1)</f>
        <v>0</v>
      </c>
      <c r="P22" s="15">
        <f t="shared" si="3"/>
        <v>0</v>
      </c>
      <c r="Q22" s="15">
        <f t="shared" si="4"/>
        <v>0</v>
      </c>
      <c r="R22" s="15">
        <f t="shared" si="5"/>
        <v>0</v>
      </c>
      <c r="S22" s="15">
        <f>IF(ISNUMBER(SEARCH("|"&amp;E22&amp;"|","|"&amp;VLOOKUP(D22,教师!$A$5:$G$10,6,FALSE)&amp;"|")),1,0)</f>
        <v>1</v>
      </c>
      <c r="T22" s="15">
        <f>IF(COUNTIFS($E$5:E22,E22,$F$5:F22,F22)=1,1,0)</f>
        <v>1</v>
      </c>
      <c r="U22" s="3" t="s">
        <v>321</v>
      </c>
    </row>
    <row r="23" spans="1:21" ht="22" customHeight="1" x14ac:dyDescent="0.35">
      <c r="A23" s="3" t="s">
        <v>42</v>
      </c>
      <c r="B23" s="3" t="s">
        <v>242</v>
      </c>
      <c r="C23" s="12" t="str">
        <f>VLOOKUP(B23,课程需求!$A$5:$H$28,2,FALSE)</f>
        <v>B03</v>
      </c>
      <c r="D23" s="12" t="str">
        <f>VLOOKUP(B23,课程需求!$A$5:$H$28,3,FALSE)</f>
        <v>T03</v>
      </c>
      <c r="E23" s="3" t="s">
        <v>213</v>
      </c>
      <c r="F23" s="3" t="s">
        <v>174</v>
      </c>
      <c r="G23" s="12">
        <f>VLOOKUP(B23,课程需求!$A$5:$H$28,5,FALSE)</f>
        <v>28</v>
      </c>
      <c r="H23" s="12">
        <f>VLOOKUP(F23,教室!$A$5:$F$10,3,FALSE)</f>
        <v>40</v>
      </c>
      <c r="I23" s="12" t="str">
        <f>VLOOKUP(B23,课程需求!$A$5:$H$28,6,FALSE)</f>
        <v>投影</v>
      </c>
      <c r="J23" s="12" t="str">
        <f>VLOOKUP(F23,教室!$A$5:$F$10,4,FALSE)</f>
        <v>投影</v>
      </c>
      <c r="K23" s="15">
        <f t="shared" si="0"/>
        <v>0</v>
      </c>
      <c r="L23" s="15">
        <f t="shared" si="1"/>
        <v>0</v>
      </c>
      <c r="M23" s="15">
        <f t="shared" si="2"/>
        <v>0</v>
      </c>
      <c r="N23" s="15">
        <f>IF(ISNUMBER(SEARCH("|"&amp;E23&amp;"|","|"&amp;VLOOKUP(D23,教师!$A$5:$G$10,5,FALSE)&amp;"|")),1,0)</f>
        <v>0</v>
      </c>
      <c r="O23" s="15">
        <f>IF(ISNUMBER(SEARCH("|"&amp;E23&amp;"|","|"&amp;VLOOKUP(F23,教室!$A$5:$F$10,5,FALSE)&amp;"|")),0,1)</f>
        <v>0</v>
      </c>
      <c r="P23" s="15">
        <f t="shared" si="3"/>
        <v>0</v>
      </c>
      <c r="Q23" s="15">
        <f t="shared" si="4"/>
        <v>0</v>
      </c>
      <c r="R23" s="15">
        <f t="shared" si="5"/>
        <v>0</v>
      </c>
      <c r="S23" s="15">
        <f>IF(ISNUMBER(SEARCH("|"&amp;E23&amp;"|","|"&amp;VLOOKUP(D23,教师!$A$5:$G$10,6,FALSE)&amp;"|")),1,0)</f>
        <v>1</v>
      </c>
      <c r="T23" s="15">
        <f>IF(COUNTIFS($E$5:E23,E23,$F$5:F23,F23)=1,1,0)</f>
        <v>1</v>
      </c>
      <c r="U23" s="3" t="s">
        <v>321</v>
      </c>
    </row>
    <row r="24" spans="1:21" ht="22" customHeight="1" x14ac:dyDescent="0.35">
      <c r="A24" s="3" t="s">
        <v>42</v>
      </c>
      <c r="B24" s="3" t="s">
        <v>243</v>
      </c>
      <c r="C24" s="12" t="str">
        <f>VLOOKUP(B24,课程需求!$A$5:$H$28,2,FALSE)</f>
        <v>B07</v>
      </c>
      <c r="D24" s="12" t="str">
        <f>VLOOKUP(B24,课程需求!$A$5:$H$28,3,FALSE)</f>
        <v>T01</v>
      </c>
      <c r="E24" s="3" t="s">
        <v>213</v>
      </c>
      <c r="F24" s="3" t="s">
        <v>178</v>
      </c>
      <c r="G24" s="12">
        <f>VLOOKUP(B24,课程需求!$A$5:$H$28,5,FALSE)</f>
        <v>20</v>
      </c>
      <c r="H24" s="12">
        <f>VLOOKUP(F24,教室!$A$5:$F$10,3,FALSE)</f>
        <v>40</v>
      </c>
      <c r="I24" s="12" t="str">
        <f>VLOOKUP(B24,课程需求!$A$5:$H$28,6,FALSE)</f>
        <v>投影</v>
      </c>
      <c r="J24" s="12" t="str">
        <f>VLOOKUP(F24,教室!$A$5:$F$10,4,FALSE)</f>
        <v>投影</v>
      </c>
      <c r="K24" s="15">
        <f t="shared" si="0"/>
        <v>0</v>
      </c>
      <c r="L24" s="15">
        <f t="shared" si="1"/>
        <v>0</v>
      </c>
      <c r="M24" s="15">
        <f t="shared" si="2"/>
        <v>0</v>
      </c>
      <c r="N24" s="15">
        <f>IF(ISNUMBER(SEARCH("|"&amp;E24&amp;"|","|"&amp;VLOOKUP(D24,教师!$A$5:$G$10,5,FALSE)&amp;"|")),1,0)</f>
        <v>0</v>
      </c>
      <c r="O24" s="15">
        <f>IF(ISNUMBER(SEARCH("|"&amp;E24&amp;"|","|"&amp;VLOOKUP(F24,教室!$A$5:$F$10,5,FALSE)&amp;"|")),0,1)</f>
        <v>0</v>
      </c>
      <c r="P24" s="15">
        <f t="shared" si="3"/>
        <v>0</v>
      </c>
      <c r="Q24" s="15">
        <f t="shared" si="4"/>
        <v>0</v>
      </c>
      <c r="R24" s="15">
        <f t="shared" si="5"/>
        <v>0</v>
      </c>
      <c r="S24" s="15">
        <f>IF(ISNUMBER(SEARCH("|"&amp;E24&amp;"|","|"&amp;VLOOKUP(D24,教师!$A$5:$G$10,6,FALSE)&amp;"|")),1,0)</f>
        <v>1</v>
      </c>
      <c r="T24" s="15">
        <f>IF(COUNTIFS($E$5:E24,E24,$F$5:F24,F24)=1,1,0)</f>
        <v>1</v>
      </c>
      <c r="U24" s="3" t="s">
        <v>321</v>
      </c>
    </row>
    <row r="25" spans="1:21" ht="22" customHeight="1" x14ac:dyDescent="0.35">
      <c r="A25" s="3" t="s">
        <v>42</v>
      </c>
      <c r="B25" s="3" t="s">
        <v>244</v>
      </c>
      <c r="C25" s="12" t="str">
        <f>VLOOKUP(B25,课程需求!$A$5:$H$28,2,FALSE)</f>
        <v>B11</v>
      </c>
      <c r="D25" s="12" t="str">
        <f>VLOOKUP(B25,课程需求!$A$5:$H$28,3,FALSE)</f>
        <v>T05</v>
      </c>
      <c r="E25" s="3" t="s">
        <v>213</v>
      </c>
      <c r="F25" s="3" t="s">
        <v>180</v>
      </c>
      <c r="G25" s="12">
        <f>VLOOKUP(B25,课程需求!$A$5:$H$28,5,FALSE)</f>
        <v>24</v>
      </c>
      <c r="H25" s="12">
        <f>VLOOKUP(F25,教室!$A$5:$F$10,3,FALSE)</f>
        <v>50</v>
      </c>
      <c r="I25" s="12" t="str">
        <f>VLOOKUP(B25,课程需求!$A$5:$H$28,6,FALSE)</f>
        <v>投影</v>
      </c>
      <c r="J25" s="12" t="str">
        <f>VLOOKUP(F25,教室!$A$5:$F$10,4,FALSE)</f>
        <v>投影|电脑</v>
      </c>
      <c r="K25" s="15">
        <f t="shared" si="0"/>
        <v>0</v>
      </c>
      <c r="L25" s="15">
        <f t="shared" si="1"/>
        <v>0</v>
      </c>
      <c r="M25" s="15">
        <f t="shared" si="2"/>
        <v>0</v>
      </c>
      <c r="N25" s="15">
        <f>IF(ISNUMBER(SEARCH("|"&amp;E25&amp;"|","|"&amp;VLOOKUP(D25,教师!$A$5:$G$10,5,FALSE)&amp;"|")),1,0)</f>
        <v>0</v>
      </c>
      <c r="O25" s="15">
        <f>IF(ISNUMBER(SEARCH("|"&amp;E25&amp;"|","|"&amp;VLOOKUP(F25,教室!$A$5:$F$10,5,FALSE)&amp;"|")),0,1)</f>
        <v>0</v>
      </c>
      <c r="P25" s="15">
        <f t="shared" si="3"/>
        <v>0</v>
      </c>
      <c r="Q25" s="15">
        <f t="shared" si="4"/>
        <v>0</v>
      </c>
      <c r="R25" s="15">
        <f t="shared" si="5"/>
        <v>0</v>
      </c>
      <c r="S25" s="15">
        <f>IF(ISNUMBER(SEARCH("|"&amp;E25&amp;"|","|"&amp;VLOOKUP(D25,教师!$A$5:$G$10,6,FALSE)&amp;"|")),1,0)</f>
        <v>1</v>
      </c>
      <c r="T25" s="15">
        <f>IF(COUNTIFS($E$5:E25,E25,$F$5:F25,F25)=1,1,0)</f>
        <v>1</v>
      </c>
      <c r="U25" s="3" t="s">
        <v>321</v>
      </c>
    </row>
    <row r="26" spans="1:21" ht="22" customHeight="1" x14ac:dyDescent="0.35">
      <c r="A26" s="3" t="s">
        <v>42</v>
      </c>
      <c r="B26" s="3" t="s">
        <v>245</v>
      </c>
      <c r="C26" s="12" t="str">
        <f>VLOOKUP(B26,课程需求!$A$5:$H$28,2,FALSE)</f>
        <v>B04</v>
      </c>
      <c r="D26" s="12" t="str">
        <f>VLOOKUP(B26,课程需求!$A$5:$H$28,3,FALSE)</f>
        <v>T04</v>
      </c>
      <c r="E26" s="3" t="s">
        <v>215</v>
      </c>
      <c r="F26" s="3" t="s">
        <v>174</v>
      </c>
      <c r="G26" s="12">
        <f>VLOOKUP(B26,课程需求!$A$5:$H$28,5,FALSE)</f>
        <v>32</v>
      </c>
      <c r="H26" s="12">
        <f>VLOOKUP(F26,教室!$A$5:$F$10,3,FALSE)</f>
        <v>40</v>
      </c>
      <c r="I26" s="12" t="str">
        <f>VLOOKUP(B26,课程需求!$A$5:$H$28,6,FALSE)</f>
        <v>投影</v>
      </c>
      <c r="J26" s="12" t="str">
        <f>VLOOKUP(F26,教室!$A$5:$F$10,4,FALSE)</f>
        <v>投影</v>
      </c>
      <c r="K26" s="15">
        <f t="shared" si="0"/>
        <v>0</v>
      </c>
      <c r="L26" s="15">
        <f t="shared" si="1"/>
        <v>0</v>
      </c>
      <c r="M26" s="15">
        <f t="shared" si="2"/>
        <v>0</v>
      </c>
      <c r="N26" s="15">
        <f>IF(ISNUMBER(SEARCH("|"&amp;E26&amp;"|","|"&amp;VLOOKUP(D26,教师!$A$5:$G$10,5,FALSE)&amp;"|")),1,0)</f>
        <v>0</v>
      </c>
      <c r="O26" s="15">
        <f>IF(ISNUMBER(SEARCH("|"&amp;E26&amp;"|","|"&amp;VLOOKUP(F26,教室!$A$5:$F$10,5,FALSE)&amp;"|")),0,1)</f>
        <v>0</v>
      </c>
      <c r="P26" s="15">
        <f t="shared" si="3"/>
        <v>0</v>
      </c>
      <c r="Q26" s="15">
        <f t="shared" si="4"/>
        <v>0</v>
      </c>
      <c r="R26" s="15">
        <f t="shared" si="5"/>
        <v>0</v>
      </c>
      <c r="S26" s="15">
        <f>IF(ISNUMBER(SEARCH("|"&amp;E26&amp;"|","|"&amp;VLOOKUP(D26,教师!$A$5:$G$10,6,FALSE)&amp;"|")),1,0)</f>
        <v>1</v>
      </c>
      <c r="T26" s="15">
        <f>IF(COUNTIFS($E$5:E26,E26,$F$5:F26,F26)=1,1,0)</f>
        <v>1</v>
      </c>
      <c r="U26" s="3" t="s">
        <v>321</v>
      </c>
    </row>
    <row r="27" spans="1:21" ht="22" customHeight="1" x14ac:dyDescent="0.35">
      <c r="A27" s="3" t="s">
        <v>42</v>
      </c>
      <c r="B27" s="3" t="s">
        <v>246</v>
      </c>
      <c r="C27" s="12" t="str">
        <f>VLOOKUP(B27,课程需求!$A$5:$H$28,2,FALSE)</f>
        <v>B08</v>
      </c>
      <c r="D27" s="12" t="str">
        <f>VLOOKUP(B27,课程需求!$A$5:$H$28,3,FALSE)</f>
        <v>T02</v>
      </c>
      <c r="E27" s="3" t="s">
        <v>215</v>
      </c>
      <c r="F27" s="3" t="s">
        <v>178</v>
      </c>
      <c r="G27" s="12">
        <f>VLOOKUP(B27,课程需求!$A$5:$H$28,5,FALSE)</f>
        <v>26</v>
      </c>
      <c r="H27" s="12">
        <f>VLOOKUP(F27,教室!$A$5:$F$10,3,FALSE)</f>
        <v>40</v>
      </c>
      <c r="I27" s="12" t="str">
        <f>VLOOKUP(B27,课程需求!$A$5:$H$28,6,FALSE)</f>
        <v>投影</v>
      </c>
      <c r="J27" s="12" t="str">
        <f>VLOOKUP(F27,教室!$A$5:$F$10,4,FALSE)</f>
        <v>投影</v>
      </c>
      <c r="K27" s="15">
        <f t="shared" si="0"/>
        <v>0</v>
      </c>
      <c r="L27" s="15">
        <f t="shared" si="1"/>
        <v>0</v>
      </c>
      <c r="M27" s="15">
        <f t="shared" si="2"/>
        <v>0</v>
      </c>
      <c r="N27" s="15">
        <f>IF(ISNUMBER(SEARCH("|"&amp;E27&amp;"|","|"&amp;VLOOKUP(D27,教师!$A$5:$G$10,5,FALSE)&amp;"|")),1,0)</f>
        <v>0</v>
      </c>
      <c r="O27" s="15">
        <f>IF(ISNUMBER(SEARCH("|"&amp;E27&amp;"|","|"&amp;VLOOKUP(F27,教室!$A$5:$F$10,5,FALSE)&amp;"|")),0,1)</f>
        <v>0</v>
      </c>
      <c r="P27" s="15">
        <f t="shared" si="3"/>
        <v>0</v>
      </c>
      <c r="Q27" s="15">
        <f t="shared" si="4"/>
        <v>0</v>
      </c>
      <c r="R27" s="15">
        <f t="shared" si="5"/>
        <v>0</v>
      </c>
      <c r="S27" s="15">
        <f>IF(ISNUMBER(SEARCH("|"&amp;E27&amp;"|","|"&amp;VLOOKUP(D27,教师!$A$5:$G$10,6,FALSE)&amp;"|")),1,0)</f>
        <v>1</v>
      </c>
      <c r="T27" s="15">
        <f>IF(COUNTIFS($E$5:E27,E27,$F$5:F27,F27)=1,1,0)</f>
        <v>1</v>
      </c>
      <c r="U27" s="3" t="s">
        <v>321</v>
      </c>
    </row>
    <row r="28" spans="1:21" ht="22" customHeight="1" x14ac:dyDescent="0.35">
      <c r="A28" s="4" t="s">
        <v>42</v>
      </c>
      <c r="B28" s="4" t="s">
        <v>247</v>
      </c>
      <c r="C28" s="13" t="str">
        <f>VLOOKUP(B28,课程需求!$A$5:$H$28,2,FALSE)</f>
        <v>B12</v>
      </c>
      <c r="D28" s="13" t="str">
        <f>VLOOKUP(B28,课程需求!$A$5:$H$28,3,FALSE)</f>
        <v>T06</v>
      </c>
      <c r="E28" s="4" t="s">
        <v>215</v>
      </c>
      <c r="F28" s="4" t="s">
        <v>180</v>
      </c>
      <c r="G28" s="13">
        <f>VLOOKUP(B28,课程需求!$A$5:$H$28,5,FALSE)</f>
        <v>30</v>
      </c>
      <c r="H28" s="13">
        <f>VLOOKUP(F28,教室!$A$5:$F$10,3,FALSE)</f>
        <v>50</v>
      </c>
      <c r="I28" s="13" t="str">
        <f>VLOOKUP(B28,课程需求!$A$5:$H$28,6,FALSE)</f>
        <v>电脑</v>
      </c>
      <c r="J28" s="13" t="str">
        <f>VLOOKUP(F28,教室!$A$5:$F$10,4,FALSE)</f>
        <v>投影|电脑</v>
      </c>
      <c r="K28" s="16">
        <f t="shared" si="0"/>
        <v>0</v>
      </c>
      <c r="L28" s="16">
        <f t="shared" si="1"/>
        <v>0</v>
      </c>
      <c r="M28" s="16">
        <f t="shared" si="2"/>
        <v>0</v>
      </c>
      <c r="N28" s="16">
        <f>IF(ISNUMBER(SEARCH("|"&amp;E28&amp;"|","|"&amp;VLOOKUP(D28,教师!$A$5:$G$10,5,FALSE)&amp;"|")),1,0)</f>
        <v>0</v>
      </c>
      <c r="O28" s="16">
        <f>IF(ISNUMBER(SEARCH("|"&amp;E28&amp;"|","|"&amp;VLOOKUP(F28,教室!$A$5:$F$10,5,FALSE)&amp;"|")),0,1)</f>
        <v>0</v>
      </c>
      <c r="P28" s="16">
        <f t="shared" si="3"/>
        <v>0</v>
      </c>
      <c r="Q28" s="16">
        <f t="shared" si="4"/>
        <v>0</v>
      </c>
      <c r="R28" s="16">
        <f t="shared" si="5"/>
        <v>0</v>
      </c>
      <c r="S28" s="16">
        <f>IF(ISNUMBER(SEARCH("|"&amp;E28&amp;"|","|"&amp;VLOOKUP(D28,教师!$A$5:$G$10,6,FALSE)&amp;"|")),1,0)</f>
        <v>1</v>
      </c>
      <c r="T28" s="16">
        <f>IF(COUNTIFS($E$5:E28,E28,$F$5:F28,F28)=1,1,0)</f>
        <v>1</v>
      </c>
      <c r="U28" s="4" t="s">
        <v>321</v>
      </c>
    </row>
  </sheetData>
  <mergeCells count="2">
    <mergeCell ref="A1:U1"/>
    <mergeCell ref="A2:U2"/>
  </mergeCells>
  <phoneticPr fontId="8" type="noConversion"/>
  <conditionalFormatting sqref="R5:R28">
    <cfRule type="cellIs" dxfId="2" priority="1" operator="equal">
      <formula>1</formula>
    </cfRule>
  </conditionalFormatting>
  <conditionalFormatting sqref="S5:S28">
    <cfRule type="cellIs" dxfId="1" priority="2" operator="equal">
      <formula>1</formula>
    </cfRule>
    <cfRule type="cellIs" dxfId="0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"/>
  <sheetViews>
    <sheetView showGridLines="0" workbookViewId="0">
      <selection sqref="A1:J1"/>
    </sheetView>
  </sheetViews>
  <sheetFormatPr defaultRowHeight="14.5" x14ac:dyDescent="0.35"/>
  <cols>
    <col min="1" max="2" width="12" customWidth="1"/>
    <col min="3" max="3" width="36" customWidth="1"/>
    <col min="4" max="8" width="13" customWidth="1"/>
    <col min="9" max="9" width="16" customWidth="1"/>
    <col min="10" max="10" width="18" customWidth="1"/>
  </cols>
  <sheetData>
    <row r="1" spans="1:10" ht="34" customHeight="1" x14ac:dyDescent="0.35">
      <c r="A1" s="24" t="s">
        <v>322</v>
      </c>
      <c r="B1" s="24" t="s">
        <v>322</v>
      </c>
      <c r="C1" s="24" t="s">
        <v>322</v>
      </c>
      <c r="D1" s="24" t="s">
        <v>322</v>
      </c>
      <c r="E1" s="24" t="s">
        <v>322</v>
      </c>
      <c r="F1" s="24" t="s">
        <v>322</v>
      </c>
      <c r="G1" s="24" t="s">
        <v>322</v>
      </c>
      <c r="H1" s="24" t="s">
        <v>322</v>
      </c>
      <c r="I1" s="24" t="s">
        <v>322</v>
      </c>
      <c r="J1" s="24" t="s">
        <v>322</v>
      </c>
    </row>
    <row r="2" spans="1:10" ht="30" customHeight="1" x14ac:dyDescent="0.35">
      <c r="A2" s="25" t="s">
        <v>323</v>
      </c>
      <c r="B2" s="25" t="s">
        <v>323</v>
      </c>
      <c r="C2" s="25" t="s">
        <v>323</v>
      </c>
      <c r="D2" s="25" t="s">
        <v>323</v>
      </c>
      <c r="E2" s="25" t="s">
        <v>323</v>
      </c>
      <c r="F2" s="25" t="s">
        <v>323</v>
      </c>
      <c r="G2" s="25" t="s">
        <v>323</v>
      </c>
      <c r="H2" s="25" t="s">
        <v>323</v>
      </c>
      <c r="I2" s="25" t="s">
        <v>323</v>
      </c>
      <c r="J2" s="25" t="s">
        <v>323</v>
      </c>
    </row>
    <row r="3" spans="1:10" x14ac:dyDescent="0.35">
      <c r="A3" s="20"/>
      <c r="B3" s="20"/>
      <c r="C3" s="20"/>
      <c r="D3" s="20"/>
      <c r="E3" s="20"/>
      <c r="F3" s="20"/>
      <c r="G3" s="20"/>
      <c r="H3" s="20"/>
      <c r="I3" s="20"/>
      <c r="J3" s="20"/>
    </row>
    <row r="4" spans="1:10" ht="28" customHeight="1" x14ac:dyDescent="0.35">
      <c r="A4" s="1" t="s">
        <v>324</v>
      </c>
      <c r="B4" s="1" t="s">
        <v>325</v>
      </c>
      <c r="C4" s="1" t="s">
        <v>326</v>
      </c>
      <c r="D4" s="1" t="s">
        <v>327</v>
      </c>
      <c r="E4" s="1" t="s">
        <v>328</v>
      </c>
      <c r="F4" s="1" t="s">
        <v>223</v>
      </c>
      <c r="G4" s="1" t="s">
        <v>329</v>
      </c>
      <c r="H4" s="1" t="s">
        <v>330</v>
      </c>
      <c r="I4" s="1" t="s">
        <v>331</v>
      </c>
      <c r="J4" s="1" t="s">
        <v>45</v>
      </c>
    </row>
    <row r="5" spans="1:10" ht="42" customHeight="1" x14ac:dyDescent="0.35">
      <c r="A5" s="2" t="s">
        <v>332</v>
      </c>
      <c r="B5" s="2" t="s">
        <v>333</v>
      </c>
      <c r="C5" s="2" t="s">
        <v>334</v>
      </c>
      <c r="D5" s="2" t="s">
        <v>238</v>
      </c>
      <c r="E5" s="2" t="s">
        <v>210</v>
      </c>
      <c r="F5" s="2" t="s">
        <v>216</v>
      </c>
      <c r="G5" s="2" t="s">
        <v>180</v>
      </c>
      <c r="H5" s="2" t="s">
        <v>174</v>
      </c>
      <c r="I5" s="2">
        <v>1</v>
      </c>
      <c r="J5" s="2" t="s">
        <v>335</v>
      </c>
    </row>
    <row r="6" spans="1:10" ht="42" customHeight="1" x14ac:dyDescent="0.35">
      <c r="A6" s="3" t="s">
        <v>336</v>
      </c>
      <c r="B6" s="3" t="s">
        <v>337</v>
      </c>
      <c r="C6" s="3" t="s">
        <v>338</v>
      </c>
      <c r="D6" s="3" t="s">
        <v>234</v>
      </c>
      <c r="E6" s="3" t="s">
        <v>209</v>
      </c>
      <c r="F6" s="3" t="s">
        <v>209</v>
      </c>
      <c r="G6" s="3" t="s">
        <v>178</v>
      </c>
      <c r="H6" s="3" t="s">
        <v>183</v>
      </c>
      <c r="I6" s="3">
        <v>1</v>
      </c>
      <c r="J6" s="3" t="s">
        <v>335</v>
      </c>
    </row>
    <row r="7" spans="1:10" ht="42" customHeight="1" x14ac:dyDescent="0.35">
      <c r="A7" s="4" t="s">
        <v>339</v>
      </c>
      <c r="B7" s="4" t="s">
        <v>340</v>
      </c>
      <c r="C7" s="4" t="s">
        <v>341</v>
      </c>
      <c r="D7" s="4" t="s">
        <v>243</v>
      </c>
      <c r="E7" s="4" t="s">
        <v>213</v>
      </c>
      <c r="F7" s="4" t="s">
        <v>216</v>
      </c>
      <c r="G7" s="4" t="s">
        <v>178</v>
      </c>
      <c r="H7" s="4" t="s">
        <v>178</v>
      </c>
      <c r="I7" s="4">
        <v>1</v>
      </c>
      <c r="J7" s="4" t="s">
        <v>335</v>
      </c>
    </row>
  </sheetData>
  <mergeCells count="2">
    <mergeCell ref="A1:J1"/>
    <mergeCell ref="A2:J2"/>
  </mergeCells>
  <phoneticPr fontId="8" type="noConversion"/>
  <dataValidations count="1">
    <dataValidation type="list" sqref="J5:J7" xr:uid="{00000000-0002-0000-0B00-000000000000}">
      <formula1>"候选方案,已批准,已拒绝"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1"/>
  <sheetViews>
    <sheetView showGridLines="0" workbookViewId="0">
      <selection sqref="A1:H1"/>
    </sheetView>
  </sheetViews>
  <sheetFormatPr defaultRowHeight="14.5" x14ac:dyDescent="0.35"/>
  <cols>
    <col min="1" max="1" width="18" customWidth="1"/>
    <col min="2" max="2" width="42" customWidth="1"/>
    <col min="3" max="4" width="28" customWidth="1"/>
    <col min="5" max="5" width="20" customWidth="1"/>
    <col min="6" max="7" width="24" customWidth="1"/>
    <col min="8" max="8" width="16" customWidth="1"/>
  </cols>
  <sheetData>
    <row r="1" spans="1:8" ht="34" customHeight="1" x14ac:dyDescent="0.35">
      <c r="A1" s="24" t="s">
        <v>342</v>
      </c>
      <c r="B1" s="24" t="s">
        <v>342</v>
      </c>
      <c r="C1" s="24" t="s">
        <v>342</v>
      </c>
      <c r="D1" s="24" t="s">
        <v>342</v>
      </c>
      <c r="E1" s="24" t="s">
        <v>342</v>
      </c>
      <c r="F1" s="24" t="s">
        <v>342</v>
      </c>
      <c r="G1" s="24" t="s">
        <v>342</v>
      </c>
      <c r="H1" s="24" t="s">
        <v>342</v>
      </c>
    </row>
    <row r="2" spans="1:8" ht="30" customHeight="1" x14ac:dyDescent="0.35">
      <c r="A2" s="25" t="s">
        <v>343</v>
      </c>
      <c r="B2" s="25" t="s">
        <v>343</v>
      </c>
      <c r="C2" s="25" t="s">
        <v>343</v>
      </c>
      <c r="D2" s="25" t="s">
        <v>343</v>
      </c>
      <c r="E2" s="25" t="s">
        <v>343</v>
      </c>
      <c r="F2" s="25" t="s">
        <v>343</v>
      </c>
      <c r="G2" s="25" t="s">
        <v>343</v>
      </c>
      <c r="H2" s="25" t="s">
        <v>343</v>
      </c>
    </row>
    <row r="3" spans="1:8" x14ac:dyDescent="0.35">
      <c r="A3" s="20"/>
      <c r="B3" s="20"/>
      <c r="C3" s="20"/>
      <c r="D3" s="20"/>
      <c r="E3" s="20"/>
      <c r="F3" s="20"/>
      <c r="G3" s="20"/>
      <c r="H3" s="20"/>
    </row>
    <row r="4" spans="1:8" ht="28" customHeight="1" x14ac:dyDescent="0.35">
      <c r="A4" s="1" t="s">
        <v>40</v>
      </c>
      <c r="B4" s="1" t="s">
        <v>344</v>
      </c>
      <c r="C4" s="1" t="s">
        <v>345</v>
      </c>
      <c r="D4" s="1" t="s">
        <v>346</v>
      </c>
      <c r="E4" s="1" t="s">
        <v>347</v>
      </c>
      <c r="F4" s="1" t="s">
        <v>348</v>
      </c>
      <c r="G4" s="1" t="s">
        <v>349</v>
      </c>
      <c r="H4" s="1" t="s">
        <v>350</v>
      </c>
    </row>
    <row r="5" spans="1:8" ht="52" customHeight="1" x14ac:dyDescent="0.35">
      <c r="A5" s="2" t="s">
        <v>49</v>
      </c>
      <c r="B5" s="2" t="s">
        <v>351</v>
      </c>
      <c r="C5" s="2" t="s">
        <v>352</v>
      </c>
      <c r="D5" s="2" t="s">
        <v>353</v>
      </c>
      <c r="E5" s="2" t="s">
        <v>354</v>
      </c>
      <c r="F5" s="2" t="s">
        <v>355</v>
      </c>
      <c r="G5" s="2" t="s">
        <v>356</v>
      </c>
      <c r="H5" s="2" t="s">
        <v>357</v>
      </c>
    </row>
    <row r="6" spans="1:8" ht="52" customHeight="1" x14ac:dyDescent="0.35">
      <c r="A6" s="3" t="s">
        <v>47</v>
      </c>
      <c r="B6" s="3" t="s">
        <v>48</v>
      </c>
      <c r="C6" s="3" t="s">
        <v>358</v>
      </c>
      <c r="D6" s="3" t="s">
        <v>359</v>
      </c>
      <c r="E6" s="3" t="s">
        <v>360</v>
      </c>
      <c r="F6" s="3" t="s">
        <v>361</v>
      </c>
      <c r="G6" s="3" t="s">
        <v>356</v>
      </c>
      <c r="H6" s="3" t="s">
        <v>357</v>
      </c>
    </row>
    <row r="7" spans="1:8" ht="52" customHeight="1" x14ac:dyDescent="0.35">
      <c r="A7" s="3" t="s">
        <v>51</v>
      </c>
      <c r="B7" s="3" t="s">
        <v>362</v>
      </c>
      <c r="C7" s="3" t="s">
        <v>363</v>
      </c>
      <c r="D7" s="3" t="s">
        <v>364</v>
      </c>
      <c r="E7" s="3" t="s">
        <v>365</v>
      </c>
      <c r="F7" s="3" t="s">
        <v>366</v>
      </c>
      <c r="G7" s="3" t="s">
        <v>367</v>
      </c>
      <c r="H7" s="3" t="s">
        <v>357</v>
      </c>
    </row>
    <row r="8" spans="1:8" ht="52" customHeight="1" x14ac:dyDescent="0.35">
      <c r="A8" s="3" t="s">
        <v>53</v>
      </c>
      <c r="B8" s="3" t="s">
        <v>368</v>
      </c>
      <c r="C8" s="3" t="s">
        <v>369</v>
      </c>
      <c r="D8" s="3" t="s">
        <v>370</v>
      </c>
      <c r="E8" s="3" t="s">
        <v>371</v>
      </c>
      <c r="F8" s="3" t="s">
        <v>372</v>
      </c>
      <c r="G8" s="3" t="s">
        <v>367</v>
      </c>
      <c r="H8" s="3" t="s">
        <v>357</v>
      </c>
    </row>
    <row r="9" spans="1:8" ht="52" customHeight="1" x14ac:dyDescent="0.35">
      <c r="A9" s="3" t="s">
        <v>75</v>
      </c>
      <c r="B9" s="3" t="s">
        <v>373</v>
      </c>
      <c r="C9" s="3" t="s">
        <v>374</v>
      </c>
      <c r="D9" s="3" t="s">
        <v>364</v>
      </c>
      <c r="E9" s="3" t="s">
        <v>375</v>
      </c>
      <c r="F9" s="3" t="s">
        <v>376</v>
      </c>
      <c r="G9" s="3" t="s">
        <v>367</v>
      </c>
      <c r="H9" s="3" t="s">
        <v>357</v>
      </c>
    </row>
    <row r="10" spans="1:8" ht="52" customHeight="1" x14ac:dyDescent="0.35">
      <c r="A10" s="3" t="s">
        <v>79</v>
      </c>
      <c r="B10" s="3" t="s">
        <v>377</v>
      </c>
      <c r="C10" s="3" t="s">
        <v>374</v>
      </c>
      <c r="D10" s="3" t="s">
        <v>364</v>
      </c>
      <c r="E10" s="3" t="s">
        <v>378</v>
      </c>
      <c r="F10" s="3" t="s">
        <v>379</v>
      </c>
      <c r="G10" s="3" t="s">
        <v>380</v>
      </c>
      <c r="H10" s="3" t="s">
        <v>357</v>
      </c>
    </row>
    <row r="11" spans="1:8" ht="52" customHeight="1" x14ac:dyDescent="0.35">
      <c r="A11" s="4" t="s">
        <v>61</v>
      </c>
      <c r="B11" s="4" t="s">
        <v>381</v>
      </c>
      <c r="C11" s="4" t="s">
        <v>382</v>
      </c>
      <c r="D11" s="4" t="s">
        <v>383</v>
      </c>
      <c r="E11" s="4" t="s">
        <v>384</v>
      </c>
      <c r="F11" s="4" t="s">
        <v>385</v>
      </c>
      <c r="G11" s="4" t="s">
        <v>386</v>
      </c>
      <c r="H11" s="4" t="s">
        <v>357</v>
      </c>
    </row>
  </sheetData>
  <mergeCells count="2">
    <mergeCell ref="A1:H1"/>
    <mergeCell ref="A2:H2"/>
  </mergeCells>
  <phoneticPr fontId="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9"/>
  <sheetViews>
    <sheetView showGridLines="0" tabSelected="1" workbookViewId="0">
      <selection sqref="A1:G1"/>
    </sheetView>
  </sheetViews>
  <sheetFormatPr defaultRowHeight="14.5" x14ac:dyDescent="0.35"/>
  <cols>
    <col min="1" max="1" width="9" customWidth="1"/>
    <col min="2" max="2" width="14" customWidth="1"/>
    <col min="3" max="3" width="24" customWidth="1"/>
    <col min="4" max="4" width="36" customWidth="1"/>
    <col min="5" max="5" width="68" customWidth="1"/>
    <col min="6" max="6" width="14" customWidth="1"/>
    <col min="7" max="7" width="30" customWidth="1"/>
  </cols>
  <sheetData>
    <row r="1" spans="1:7" ht="34" customHeight="1" x14ac:dyDescent="0.35">
      <c r="A1" s="24" t="s">
        <v>387</v>
      </c>
      <c r="B1" s="24" t="s">
        <v>387</v>
      </c>
      <c r="C1" s="24" t="s">
        <v>387</v>
      </c>
      <c r="D1" s="24" t="s">
        <v>387</v>
      </c>
      <c r="E1" s="24" t="s">
        <v>387</v>
      </c>
      <c r="F1" s="24" t="s">
        <v>387</v>
      </c>
      <c r="G1" s="24" t="s">
        <v>387</v>
      </c>
    </row>
    <row r="2" spans="1:7" ht="30" customHeight="1" x14ac:dyDescent="0.35">
      <c r="A2" s="25" t="s">
        <v>388</v>
      </c>
      <c r="B2" s="25" t="s">
        <v>388</v>
      </c>
      <c r="C2" s="25" t="s">
        <v>388</v>
      </c>
      <c r="D2" s="25" t="s">
        <v>388</v>
      </c>
      <c r="E2" s="25" t="s">
        <v>388</v>
      </c>
      <c r="F2" s="25" t="s">
        <v>388</v>
      </c>
      <c r="G2" s="25" t="s">
        <v>388</v>
      </c>
    </row>
    <row r="3" spans="1:7" x14ac:dyDescent="0.35">
      <c r="A3" s="20"/>
      <c r="B3" s="20"/>
      <c r="C3" s="20"/>
      <c r="D3" s="20"/>
      <c r="E3" s="20"/>
      <c r="F3" s="20"/>
      <c r="G3" s="20"/>
    </row>
    <row r="4" spans="1:7" ht="28" customHeight="1" x14ac:dyDescent="0.35">
      <c r="A4" s="1" t="s">
        <v>389</v>
      </c>
      <c r="B4" s="1" t="s">
        <v>390</v>
      </c>
      <c r="C4" s="1" t="s">
        <v>391</v>
      </c>
      <c r="D4" s="1" t="s">
        <v>392</v>
      </c>
      <c r="E4" s="1" t="s">
        <v>393</v>
      </c>
      <c r="F4" s="1" t="s">
        <v>394</v>
      </c>
      <c r="G4" s="1" t="s">
        <v>395</v>
      </c>
    </row>
    <row r="5" spans="1:7" ht="44" customHeight="1" x14ac:dyDescent="0.35">
      <c r="A5" s="2" t="s">
        <v>197</v>
      </c>
      <c r="B5" s="2" t="s">
        <v>396</v>
      </c>
      <c r="C5" s="2" t="s">
        <v>397</v>
      </c>
      <c r="D5" s="2" t="s">
        <v>398</v>
      </c>
      <c r="E5" s="2" t="s">
        <v>399</v>
      </c>
      <c r="F5" s="2" t="s">
        <v>400</v>
      </c>
      <c r="G5" s="2" t="s">
        <v>401</v>
      </c>
    </row>
    <row r="6" spans="1:7" ht="44" customHeight="1" x14ac:dyDescent="0.35">
      <c r="A6" s="3" t="s">
        <v>203</v>
      </c>
      <c r="B6" s="3" t="s">
        <v>402</v>
      </c>
      <c r="C6" s="3" t="s">
        <v>403</v>
      </c>
      <c r="D6" s="3" t="s">
        <v>404</v>
      </c>
      <c r="E6" s="3" t="s">
        <v>405</v>
      </c>
      <c r="F6" s="3" t="s">
        <v>400</v>
      </c>
      <c r="G6" s="3" t="s">
        <v>406</v>
      </c>
    </row>
    <row r="7" spans="1:7" ht="44" customHeight="1" x14ac:dyDescent="0.35">
      <c r="A7" s="3" t="s">
        <v>207</v>
      </c>
      <c r="B7" s="3" t="s">
        <v>407</v>
      </c>
      <c r="C7" s="3" t="s">
        <v>403</v>
      </c>
      <c r="D7" s="3" t="s">
        <v>408</v>
      </c>
      <c r="E7" s="3" t="s">
        <v>409</v>
      </c>
      <c r="F7" s="3" t="s">
        <v>400</v>
      </c>
      <c r="G7" s="3" t="s">
        <v>410</v>
      </c>
    </row>
    <row r="8" spans="1:7" ht="44" customHeight="1" x14ac:dyDescent="0.35">
      <c r="A8" s="3" t="s">
        <v>209</v>
      </c>
      <c r="B8" s="3" t="s">
        <v>411</v>
      </c>
      <c r="C8" s="3" t="s">
        <v>412</v>
      </c>
      <c r="D8" s="3" t="s">
        <v>413</v>
      </c>
      <c r="E8" s="3" t="s">
        <v>414</v>
      </c>
      <c r="F8" s="3" t="s">
        <v>400</v>
      </c>
      <c r="G8" s="3" t="s">
        <v>415</v>
      </c>
    </row>
    <row r="9" spans="1:7" ht="44" customHeight="1" x14ac:dyDescent="0.35">
      <c r="A9" s="4" t="s">
        <v>210</v>
      </c>
      <c r="B9" s="4" t="s">
        <v>416</v>
      </c>
      <c r="C9" s="4" t="s">
        <v>417</v>
      </c>
      <c r="D9" s="4" t="s">
        <v>418</v>
      </c>
      <c r="E9" s="4" t="s">
        <v>419</v>
      </c>
      <c r="F9" s="4" t="s">
        <v>400</v>
      </c>
      <c r="G9" s="4" t="s">
        <v>420</v>
      </c>
    </row>
  </sheetData>
  <mergeCells count="2">
    <mergeCell ref="A1:G1"/>
    <mergeCell ref="A2:G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使用说明</vt:lpstr>
      <vt:lpstr>指标看板</vt:lpstr>
      <vt:lpstr>场景参数</vt:lpstr>
      <vt:lpstr>教师</vt:lpstr>
      <vt:lpstr>班级</vt:lpstr>
      <vt:lpstr>教室</vt:lpstr>
      <vt:lpstr>时段</vt:lpstr>
      <vt:lpstr>课程需求</vt:lpstr>
      <vt:lpstr>规则样本</vt:lpstr>
      <vt:lpstr>人工基线课表</vt:lpstr>
      <vt:lpstr>优化课表</vt:lpstr>
      <vt:lpstr>调课事件</vt:lpstr>
      <vt:lpstr>指标口径</vt:lpstr>
      <vt:lpstr>参考来源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禹萱 刘</cp:lastModifiedBy>
  <dcterms:modified xsi:type="dcterms:W3CDTF">2026-07-17T18:20:24Z</dcterms:modified>
</cp:coreProperties>
</file>